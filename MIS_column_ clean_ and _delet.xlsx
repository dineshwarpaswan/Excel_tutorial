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B0BCCB57-3633-417A-AED9-2542A1EC471A}" xr6:coauthVersionLast="47" xr6:coauthVersionMax="47" xr10:uidLastSave="{00000000-0000-0000-0000-000000000000}"/>
  <bookViews>
    <workbookView xWindow="-120" yWindow="-120" windowWidth="20730" windowHeight="11160" activeTab="1" xr2:uid="{A03E4646-C7E3-4022-846C-17B5F11C2B7D}"/>
  </bookViews>
  <sheets>
    <sheet name="row_data_Sheet1" sheetId="1" r:id="rId1"/>
    <sheet name="pivot_Table_with_bar and_chart" sheetId="3" r:id="rId2"/>
    <sheet name="clean_data_Sheet2" sheetId="2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2" i="2"/>
</calcChain>
</file>

<file path=xl/sharedStrings.xml><?xml version="1.0" encoding="utf-8"?>
<sst xmlns="http://schemas.openxmlformats.org/spreadsheetml/2006/main" count="177" uniqueCount="93">
  <si>
    <t>Date</t>
  </si>
  <si>
    <t>09-sep-20026</t>
  </si>
  <si>
    <t>Vendor</t>
  </si>
  <si>
    <t>Rk -Entepice</t>
  </si>
  <si>
    <t>Gutata -Group</t>
  </si>
  <si>
    <t>Verma Trand</t>
  </si>
  <si>
    <t>sharma Trand</t>
  </si>
  <si>
    <t>Sharma Trand</t>
  </si>
  <si>
    <t>Mahi Group</t>
  </si>
  <si>
    <t>Larson -Royle</t>
  </si>
  <si>
    <t>Bimlla -Office</t>
  </si>
  <si>
    <t>Mahi-Group</t>
  </si>
  <si>
    <t>Gupta Office</t>
  </si>
  <si>
    <t>Gupta -Office Group</t>
  </si>
  <si>
    <t>Item</t>
  </si>
  <si>
    <t>A4 paper</t>
  </si>
  <si>
    <t>Ball Pen</t>
  </si>
  <si>
    <t>Register</t>
  </si>
  <si>
    <t>marker Pen</t>
  </si>
  <si>
    <t>stapler</t>
  </si>
  <si>
    <t>fILe Folder</t>
  </si>
  <si>
    <t>Paper Clip</t>
  </si>
  <si>
    <t>caLCULATER</t>
  </si>
  <si>
    <t>USB Drive</t>
  </si>
  <si>
    <t>Vishal-Mega Mart</t>
  </si>
  <si>
    <t>VIshalMega Mart</t>
  </si>
  <si>
    <t>Keybord</t>
  </si>
  <si>
    <t>printer Tone</t>
  </si>
  <si>
    <t>stationery</t>
  </si>
  <si>
    <t>Stationary</t>
  </si>
  <si>
    <t>stationary</t>
  </si>
  <si>
    <t>Statinery</t>
  </si>
  <si>
    <t>OFFICE Item</t>
  </si>
  <si>
    <t>OFFICE item</t>
  </si>
  <si>
    <t>oFFICE Supplies</t>
  </si>
  <si>
    <t>Office ITEM</t>
  </si>
  <si>
    <t>It supplies</t>
  </si>
  <si>
    <t>IT supplies</t>
  </si>
  <si>
    <t>Qty</t>
  </si>
  <si>
    <t>Unit</t>
  </si>
  <si>
    <t>Packet</t>
  </si>
  <si>
    <t>pcs</t>
  </si>
  <si>
    <t>Nos</t>
  </si>
  <si>
    <t>Pcs</t>
  </si>
  <si>
    <t>whit board</t>
  </si>
  <si>
    <t>pieces</t>
  </si>
  <si>
    <t>PCS</t>
  </si>
  <si>
    <t>BOX</t>
  </si>
  <si>
    <t>DESK ORGNIZER</t>
  </si>
  <si>
    <t>Price</t>
  </si>
  <si>
    <t>Pyment Mode</t>
  </si>
  <si>
    <t>Cash</t>
  </si>
  <si>
    <t>Credit</t>
  </si>
  <si>
    <t>Online</t>
  </si>
  <si>
    <t>upi</t>
  </si>
  <si>
    <t>cash</t>
  </si>
  <si>
    <t>UPI</t>
  </si>
  <si>
    <t>uPI</t>
  </si>
  <si>
    <t>cAsh</t>
  </si>
  <si>
    <t>onLINE</t>
  </si>
  <si>
    <t>cREdit</t>
  </si>
  <si>
    <t>Delivered</t>
  </si>
  <si>
    <t>pending</t>
  </si>
  <si>
    <t>pENDING</t>
  </si>
  <si>
    <t>Category</t>
  </si>
  <si>
    <t>Delivery Status</t>
  </si>
  <si>
    <t>Rk Entepice</t>
  </si>
  <si>
    <t>Gutata Group</t>
  </si>
  <si>
    <t>Gupta Office Group</t>
  </si>
  <si>
    <t>Larson Royle</t>
  </si>
  <si>
    <t>Bimlla Office</t>
  </si>
  <si>
    <t>Mahigroup</t>
  </si>
  <si>
    <t>Vishalmega Mart</t>
  </si>
  <si>
    <t>A4 Paper</t>
  </si>
  <si>
    <t>Marker Pen</t>
  </si>
  <si>
    <t>Whit Board</t>
  </si>
  <si>
    <t>Stapler</t>
  </si>
  <si>
    <t>File Folder</t>
  </si>
  <si>
    <t>Calculater</t>
  </si>
  <si>
    <t>Desk Orgnizer</t>
  </si>
  <si>
    <t>Usb Drive</t>
  </si>
  <si>
    <t>Printer Tone</t>
  </si>
  <si>
    <t>Stationery</t>
  </si>
  <si>
    <t>Office Item</t>
  </si>
  <si>
    <t>Office Supplies</t>
  </si>
  <si>
    <t>It Supplies</t>
  </si>
  <si>
    <t>Amount</t>
  </si>
  <si>
    <t>Pending</t>
  </si>
  <si>
    <t>Row Labels</t>
  </si>
  <si>
    <t>Grand Total</t>
  </si>
  <si>
    <t>Sum of Amount</t>
  </si>
  <si>
    <t>(All)</t>
  </si>
  <si>
    <t>Row Data for Clean Next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</si>
</sst>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&quot;Packet&quot;"/>
    <numFmt numFmtId="165" formatCode="#\ &quot;PCS&quot;"/>
    <numFmt numFmtId="166" formatCode="#\ &quot;Nos&quot;"/>
    <numFmt numFmtId="167" formatCode="#\ &quot;Box&quot;"/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6"/>
      <color theme="0"/>
      <name val="Adobe Garamond Pro Bold"/>
      <family val="1"/>
    </font>
    <font>
      <b/>
      <sz val="14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16" fontId="0" fillId="0" borderId="1" xfId="0" applyNumberFormat="1" applyBorder="1"/>
    <xf numFmtId="15" fontId="0" fillId="0" borderId="1" xfId="0" applyNumberFormat="1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[column_ clean_ and _delet.xlsx]pivot_Table_with_bar and_chart!PivotTable1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'pivot_Table_with_bar and_chart'!$B$4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'pivot_Table_with_bar and_chart'!$A$5:$A$14</c:f>
              <c:multiLvlStrCache>
                <c:ptCount val="5"/>
                <c:lvl>
                  <c:pt idx="0">
                    <c:v>It Supplies</c:v>
                  </c:pt>
                  <c:pt idx="1">
                    <c:v>Office Supplies</c:v>
                  </c:pt>
                  <c:pt idx="2">
                    <c:v>Office Supplies</c:v>
                  </c:pt>
                  <c:pt idx="3">
                    <c:v>It Supplies</c:v>
                  </c:pt>
                  <c:pt idx="4">
                    <c:v>Office Supplies</c:v>
                  </c:pt>
                </c:lvl>
                <c:lvl>
                  <c:pt idx="0">
                    <c:v>Cash</c:v>
                  </c:pt>
                  <c:pt idx="2">
                    <c:v>Credit</c:v>
                  </c:pt>
                  <c:pt idx="3">
                    <c:v>Online</c:v>
                  </c:pt>
                  <c:pt idx="4">
                    <c:v>UPI</c:v>
                  </c:pt>
                </c:lvl>
              </c:multiLvlStrCache>
            </c:multiLvlStrRef>
          </c:cat>
          <c:val>
            <c:numRef>
              <c:f>'pivot_Table_with_bar and_chart'!$B$5:$B$14</c:f>
              <c:numCache>
                <c:formatCode>"₹"\ #,##0.00</c:formatCode>
                <c:ptCount val="5"/>
                <c:pt idx="0">
                  <c:v>3600</c:v>
                </c:pt>
                <c:pt idx="1">
                  <c:v>8000</c:v>
                </c:pt>
                <c:pt idx="2">
                  <c:v>50000</c:v>
                </c:pt>
                <c:pt idx="3">
                  <c:v>8750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9-44C0-A258-672B7275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561584"/>
        <c:axId val="349563696"/>
      </c:barChart>
      <c:catAx>
        <c:axId val="3495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63696"/>
        <c:crosses val="autoZero"/>
        <c:auto val="1"/>
        <c:lblAlgn val="ctr"/>
        <c:lblOffset val="100"/>
        <c:noMultiLvlLbl val="0"/>
      </c:catAx>
      <c:valAx>
        <c:axId val="3495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[column_ clean_ and _delet.xlsx]pivot_Table_with_bar and_chart!PivotTable1</c:name>
    <c:fmtId val="9"/>
  </c:pivotSource>
  <c:chart>
    <c:title>
      <c:layout>
        <c:manualLayout>
          <c:xMode val="edge"/>
          <c:yMode val="edge"/>
          <c:x val="0.34685534591194966"/>
          <c:y val="5.6454481651332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'pivot_Table_with_bar and_chart'!$B$4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C6-401E-A7AB-23482FDDCD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C6-401E-A7AB-23482FDDCD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C6-401E-A7AB-23482FDDCD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C6-401E-A7AB-23482FDDCD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C6-401E-A7AB-23482FDDCD4C}"/>
              </c:ext>
            </c:extLst>
          </c:dPt>
          <c:cat>
            <c:multiLvlStrRef>
              <c:f>'pivot_Table_with_bar and_chart'!$A$5:$A$14</c:f>
              <c:multiLvlStrCache>
                <c:ptCount val="5"/>
                <c:lvl>
                  <c:pt idx="0">
                    <c:v>It Supplies</c:v>
                  </c:pt>
                  <c:pt idx="1">
                    <c:v>Office Supplies</c:v>
                  </c:pt>
                  <c:pt idx="2">
                    <c:v>Office Supplies</c:v>
                  </c:pt>
                  <c:pt idx="3">
                    <c:v>It Supplies</c:v>
                  </c:pt>
                  <c:pt idx="4">
                    <c:v>Office Supplies</c:v>
                  </c:pt>
                </c:lvl>
                <c:lvl>
                  <c:pt idx="0">
                    <c:v>Cash</c:v>
                  </c:pt>
                  <c:pt idx="2">
                    <c:v>Credit</c:v>
                  </c:pt>
                  <c:pt idx="3">
                    <c:v>Online</c:v>
                  </c:pt>
                  <c:pt idx="4">
                    <c:v>UPI</c:v>
                  </c:pt>
                </c:lvl>
              </c:multiLvlStrCache>
            </c:multiLvlStrRef>
          </c:cat>
          <c:val>
            <c:numRef>
              <c:f>'pivot_Table_with_bar and_chart'!$B$5:$B$14</c:f>
              <c:numCache>
                <c:formatCode>"₹"\ #,##0.00</c:formatCode>
                <c:ptCount val="5"/>
                <c:pt idx="0">
                  <c:v>3600</c:v>
                </c:pt>
                <c:pt idx="1">
                  <c:v>8000</c:v>
                </c:pt>
                <c:pt idx="2">
                  <c:v>50000</c:v>
                </c:pt>
                <c:pt idx="3">
                  <c:v>8750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C55-B7E9-353D79AE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095518202068708"/>
          <c:y val="4.0825927202228399E-2"/>
          <c:w val="0.31502590544976206"/>
          <c:h val="0.50969952340939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0</xdr:row>
      <xdr:rowOff>47625</xdr:rowOff>
    </xdr:from>
    <xdr:to>
      <xdr:col>12</xdr:col>
      <xdr:colOff>180975</xdr:colOff>
      <xdr:row>16</xdr:row>
      <xdr:rowOff>90489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B2D29-2179-F7BB-4056-BAD76E8EC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276225</xdr:colOff>
      <xdr:row>0</xdr:row>
      <xdr:rowOff>76201</xdr:rowOff>
    </xdr:from>
    <xdr:to>
      <xdr:col>18</xdr:col>
      <xdr:colOff>314325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EA158C-057F-0E36-AC75-0487B9912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93.414535995369" createdVersion="8" refreshedVersion="8" minRefreshableVersion="3" recordCount="13" xr:uid="{216E77D1-14EE-4610-9720-FF5D92BE9072}">
  <cacheSource type="worksheet">
    <worksheetSource ref="A1:I14" sheet="clean_data_Sheet2"/>
  </cacheSource>
  <cacheFields count="9">
    <cacheField name="Date" numFmtId="14">
      <sharedItems containsSemiMixedTypes="0" containsNonDate="0" containsDate="1" containsString="0" minDate="2026-09-01T00:00:00" maxDate="2026-09-14T00:00:00"/>
    </cacheField>
    <cacheField name="Vendor" numFmtId="0">
      <sharedItems/>
    </cacheField>
    <cacheField name="Item" numFmtId="0">
      <sharedItems count="13">
        <s v="A4 Paper"/>
        <s v="Ball Pen"/>
        <s v="Register"/>
        <s v="Marker Pen"/>
        <s v="Whit Board"/>
        <s v="Stapler"/>
        <s v="File Folder"/>
        <s v="Paper Clip"/>
        <s v="Calculater"/>
        <s v="Desk Orgnizer"/>
        <s v="Usb Drive"/>
        <s v="Keybord"/>
        <s v="Printer Tone"/>
      </sharedItems>
    </cacheField>
    <cacheField name="Category" numFmtId="0">
      <sharedItems count="6">
        <s v="Stationery"/>
        <s v="Stationary"/>
        <s v="Statinery"/>
        <s v="Office Item"/>
        <s v="Office Supplies"/>
        <s v="It Supplies"/>
      </sharedItems>
    </cacheField>
    <cacheField name="Qty" numFmtId="0">
      <sharedItems containsSemiMixedTypes="0" containsString="0" containsNumber="1" containsInteger="1" minValue="6" maxValue="80"/>
    </cacheField>
    <cacheField name="Price" numFmtId="168">
      <sharedItems containsSemiMixedTypes="0" containsString="0" containsNumber="1" containsInteger="1" minValue="7" maxValue="2500"/>
    </cacheField>
    <cacheField name="Amount" numFmtId="168">
      <sharedItems containsSemiMixedTypes="0" containsString="0" containsNumber="1" containsInteger="1" minValue="70" maxValue="50000"/>
    </cacheField>
    <cacheField name="Pyment Mode" numFmtId="0">
      <sharedItems count="4">
        <s v="Cash"/>
        <s v="Credit"/>
        <s v="Online"/>
        <s v="UPI"/>
      </sharedItems>
    </cacheField>
    <cacheField name="Delivery Status" numFmtId="0">
      <sharedItems count="2">
        <s v="Deliver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6-09-01T00:00:00"/>
    <s v="Sharma Trand"/>
    <x v="0"/>
    <x v="0"/>
    <n v="20"/>
    <n v="15"/>
    <n v="300"/>
    <x v="0"/>
    <x v="0"/>
  </r>
  <r>
    <d v="2026-09-02T00:00:00"/>
    <s v="Rk Entepice"/>
    <x v="1"/>
    <x v="1"/>
    <n v="10"/>
    <n v="7"/>
    <n v="70"/>
    <x v="1"/>
    <x v="1"/>
  </r>
  <r>
    <d v="2026-09-03T00:00:00"/>
    <s v="Gutata Group"/>
    <x v="2"/>
    <x v="1"/>
    <n v="15"/>
    <n v="45"/>
    <n v="675"/>
    <x v="2"/>
    <x v="0"/>
  </r>
  <r>
    <d v="2026-09-04T00:00:00"/>
    <s v="Verma Trand"/>
    <x v="3"/>
    <x v="2"/>
    <n v="6"/>
    <n v="25"/>
    <n v="150"/>
    <x v="3"/>
    <x v="1"/>
  </r>
  <r>
    <d v="2026-09-05T00:00:00"/>
    <s v="Gupta Office Group"/>
    <x v="4"/>
    <x v="3"/>
    <n v="40"/>
    <n v="150"/>
    <n v="6000"/>
    <x v="1"/>
    <x v="0"/>
  </r>
  <r>
    <d v="2026-09-06T00:00:00"/>
    <s v="Sharma Trand"/>
    <x v="5"/>
    <x v="3"/>
    <n v="35"/>
    <n v="35"/>
    <n v="1225"/>
    <x v="0"/>
    <x v="0"/>
  </r>
  <r>
    <d v="2026-09-07T00:00:00"/>
    <s v="Mahi Group"/>
    <x v="6"/>
    <x v="4"/>
    <n v="8"/>
    <n v="20"/>
    <n v="160"/>
    <x v="3"/>
    <x v="1"/>
  </r>
  <r>
    <d v="2026-09-08T00:00:00"/>
    <s v="Larson Royle"/>
    <x v="7"/>
    <x v="1"/>
    <n v="60"/>
    <n v="10"/>
    <n v="600"/>
    <x v="2"/>
    <x v="0"/>
  </r>
  <r>
    <d v="2026-09-09T00:00:00"/>
    <s v="Bimlla Office"/>
    <x v="8"/>
    <x v="4"/>
    <n v="80"/>
    <n v="100"/>
    <n v="8000"/>
    <x v="0"/>
    <x v="0"/>
  </r>
  <r>
    <d v="2026-09-10T00:00:00"/>
    <s v="Mahigroup"/>
    <x v="9"/>
    <x v="3"/>
    <n v="50"/>
    <n v="70"/>
    <n v="3500"/>
    <x v="3"/>
    <x v="1"/>
  </r>
  <r>
    <d v="2026-09-11T00:00:00"/>
    <s v="Gupta Office"/>
    <x v="10"/>
    <x v="5"/>
    <n v="30"/>
    <n v="120"/>
    <n v="3600"/>
    <x v="0"/>
    <x v="0"/>
  </r>
  <r>
    <d v="2026-09-12T00:00:00"/>
    <s v="Vishalmega Mart"/>
    <x v="11"/>
    <x v="5"/>
    <n v="25"/>
    <n v="350"/>
    <n v="8750"/>
    <x v="2"/>
    <x v="1"/>
  </r>
  <r>
    <d v="2026-09-13T00:00:00"/>
    <s v="Vishalmega Mart"/>
    <x v="12"/>
    <x v="4"/>
    <n v="20"/>
    <n v="2500"/>
    <n v="5000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ECF29-6C56-47B2-8C9F-481741D11D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B14" firstHeaderRow="1" firstDataRow="1" firstDataCol="1" rowPageCount="1" colPageCount="1"/>
  <pivotFields count="9">
    <pivotField numFmtId="14" showAll="0" defaultSubtotal="0"/>
    <pivotField showAll="0" defaultSubtotal="0"/>
    <pivotField multipleItemSelectionAllowed="1" showAll="0" defaultSubtotal="0">
      <items count="13">
        <item x="0"/>
        <item x="1"/>
        <item x="8"/>
        <item h="1" x="9"/>
        <item h="1" x="6"/>
        <item h="1" x="11"/>
        <item h="1" x="3"/>
        <item h="1" x="7"/>
        <item h="1" x="12"/>
        <item h="1" x="2"/>
        <item h="1" x="5"/>
        <item h="1" x="10"/>
        <item h="1" x="4"/>
      </items>
    </pivotField>
    <pivotField axis="axisRow" showAll="0" defaultSubtotal="0">
      <items count="6">
        <item x="5"/>
        <item h="1" x="3"/>
        <item x="4"/>
        <item h="1" x="2"/>
        <item h="1" x="1"/>
        <item h="1" x="0"/>
      </items>
    </pivotField>
    <pivotField showAll="0" defaultSubtotal="0"/>
    <pivotField numFmtId="168" showAll="0" defaultSubtotal="0"/>
    <pivotField dataField="1" numFmtId="168" showAll="0" defaultSubtotal="0"/>
    <pivotField axis="axisRow" multipleItemSelectionAllowed="1" showAll="0" defaultSubtotal="0">
      <items count="4">
        <item x="0"/>
        <item x="1"/>
        <item x="2"/>
        <item x="3"/>
      </items>
    </pivotField>
    <pivotField axis="axisPage" multipleItemSelectionAllowed="1" showAll="0" defaultSubtotal="0">
      <items count="2">
        <item x="0"/>
        <item x="1"/>
      </items>
    </pivotField>
  </pivotFields>
  <rowFields count="2">
    <field x="7"/>
    <field x="3"/>
  </rowFields>
  <rowItems count="10">
    <i>
      <x/>
    </i>
    <i r="1">
      <x/>
    </i>
    <i r="1">
      <x v="2"/>
    </i>
    <i>
      <x v="1"/>
    </i>
    <i r="1">
      <x v="2"/>
    </i>
    <i>
      <x v="2"/>
    </i>
    <i r="1">
      <x/>
    </i>
    <i>
      <x v="3"/>
    </i>
    <i r="1">
      <x v="2"/>
    </i>
    <i t="grand">
      <x/>
    </i>
  </rowItems>
  <colItems count="1">
    <i/>
  </colItems>
  <pageFields count="1">
    <pageField fld="8" hier="-1"/>
  </pageFields>
  <dataFields count="1">
    <dataField name="Sum of Amount" fld="6" baseField="0" baseItem="0" numFmtId="168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3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BF30-F3E3-42E6-8A97-D336E53D4764}">
  <dimension ref="A1:I15"/>
  <sheetViews>
    <sheetView workbookViewId="0">
      <selection activeCell="D20" sqref="D20"/>
    </sheetView>
  </sheetViews>
  <sheetFormatPr defaultRowHeight="15" x14ac:dyDescent="0.25"/>
  <cols>
    <col min="1" max="1" width="12.5703125" bestFit="1" customWidth="1"/>
    <col min="2" max="2" width="19" bestFit="1" customWidth="1"/>
    <col min="3" max="3" width="13.85546875" bestFit="1" customWidth="1"/>
    <col min="4" max="4" width="15" bestFit="1" customWidth="1"/>
    <col min="6" max="6" width="9" customWidth="1"/>
    <col min="8" max="8" width="15" bestFit="1" customWidth="1"/>
    <col min="9" max="9" width="16.42578125" bestFit="1" customWidth="1"/>
  </cols>
  <sheetData>
    <row r="1" spans="1:9" ht="18.75" customHeight="1" x14ac:dyDescent="0.35">
      <c r="A1" s="19" t="s">
        <v>92</v>
      </c>
      <c r="B1" s="19"/>
      <c r="C1" s="19"/>
      <c r="D1" s="19"/>
      <c r="E1" s="19"/>
      <c r="F1" s="19"/>
      <c r="G1" s="19"/>
      <c r="H1" s="19"/>
      <c r="I1" s="19"/>
    </row>
    <row r="2" spans="1:9" ht="15.75" x14ac:dyDescent="0.25">
      <c r="A2" s="2" t="s">
        <v>0</v>
      </c>
      <c r="B2" s="2" t="s">
        <v>2</v>
      </c>
      <c r="C2" s="2" t="s">
        <v>14</v>
      </c>
      <c r="D2" s="2" t="s">
        <v>64</v>
      </c>
      <c r="E2" s="2" t="s">
        <v>38</v>
      </c>
      <c r="F2" s="2" t="s">
        <v>39</v>
      </c>
      <c r="G2" s="2" t="s">
        <v>49</v>
      </c>
      <c r="H2" s="2" t="s">
        <v>50</v>
      </c>
      <c r="I2" s="2" t="s">
        <v>65</v>
      </c>
    </row>
    <row r="3" spans="1:9" x14ac:dyDescent="0.25">
      <c r="A3" s="3">
        <v>46266</v>
      </c>
      <c r="B3" s="1" t="s">
        <v>6</v>
      </c>
      <c r="C3" s="1" t="s">
        <v>15</v>
      </c>
      <c r="D3" s="1" t="s">
        <v>28</v>
      </c>
      <c r="E3" s="1">
        <v>20</v>
      </c>
      <c r="F3" s="1" t="s">
        <v>40</v>
      </c>
      <c r="G3" s="1">
        <v>15</v>
      </c>
      <c r="H3" s="1" t="s">
        <v>51</v>
      </c>
      <c r="I3" s="1" t="s">
        <v>61</v>
      </c>
    </row>
    <row r="4" spans="1:9" x14ac:dyDescent="0.25">
      <c r="A4" s="3">
        <v>46267</v>
      </c>
      <c r="B4" s="1" t="s">
        <v>3</v>
      </c>
      <c r="C4" s="1" t="s">
        <v>16</v>
      </c>
      <c r="D4" s="1" t="s">
        <v>29</v>
      </c>
      <c r="E4" s="1">
        <v>10</v>
      </c>
      <c r="F4" s="1" t="s">
        <v>41</v>
      </c>
      <c r="G4" s="1">
        <v>7</v>
      </c>
      <c r="H4" s="1" t="s">
        <v>52</v>
      </c>
      <c r="I4" s="1" t="s">
        <v>62</v>
      </c>
    </row>
    <row r="5" spans="1:9" x14ac:dyDescent="0.25">
      <c r="A5" s="3">
        <v>46268</v>
      </c>
      <c r="B5" s="1" t="s">
        <v>4</v>
      </c>
      <c r="C5" s="1" t="s">
        <v>17</v>
      </c>
      <c r="D5" s="1" t="s">
        <v>30</v>
      </c>
      <c r="E5" s="1">
        <v>15</v>
      </c>
      <c r="F5" s="1" t="s">
        <v>42</v>
      </c>
      <c r="G5" s="1">
        <v>45</v>
      </c>
      <c r="H5" s="1" t="s">
        <v>53</v>
      </c>
      <c r="I5" s="1" t="s">
        <v>61</v>
      </c>
    </row>
    <row r="6" spans="1:9" x14ac:dyDescent="0.25">
      <c r="A6" s="4">
        <v>46269</v>
      </c>
      <c r="B6" s="1" t="s">
        <v>5</v>
      </c>
      <c r="C6" s="1" t="s">
        <v>18</v>
      </c>
      <c r="D6" s="1" t="s">
        <v>31</v>
      </c>
      <c r="E6" s="1">
        <v>6</v>
      </c>
      <c r="F6" s="1" t="s">
        <v>43</v>
      </c>
      <c r="G6" s="1">
        <v>25</v>
      </c>
      <c r="H6" s="1" t="s">
        <v>54</v>
      </c>
      <c r="I6" s="1" t="s">
        <v>62</v>
      </c>
    </row>
    <row r="7" spans="1:9" x14ac:dyDescent="0.25">
      <c r="A7" s="5">
        <v>46270</v>
      </c>
      <c r="B7" s="1" t="s">
        <v>13</v>
      </c>
      <c r="C7" s="1" t="s">
        <v>44</v>
      </c>
      <c r="D7" s="1" t="s">
        <v>32</v>
      </c>
      <c r="E7" s="1">
        <v>40</v>
      </c>
      <c r="F7" s="1" t="s">
        <v>45</v>
      </c>
      <c r="G7" s="1">
        <v>150</v>
      </c>
      <c r="H7" s="1" t="s">
        <v>52</v>
      </c>
      <c r="I7" s="1" t="s">
        <v>61</v>
      </c>
    </row>
    <row r="8" spans="1:9" x14ac:dyDescent="0.25">
      <c r="A8" s="3">
        <v>46271</v>
      </c>
      <c r="B8" s="1" t="s">
        <v>7</v>
      </c>
      <c r="C8" s="1" t="s">
        <v>19</v>
      </c>
      <c r="D8" s="1" t="s">
        <v>33</v>
      </c>
      <c r="E8" s="1">
        <v>35</v>
      </c>
      <c r="F8" s="1" t="s">
        <v>42</v>
      </c>
      <c r="G8" s="1">
        <v>35</v>
      </c>
      <c r="H8" s="1" t="s">
        <v>55</v>
      </c>
      <c r="I8" s="1" t="s">
        <v>61</v>
      </c>
    </row>
    <row r="9" spans="1:9" x14ac:dyDescent="0.25">
      <c r="A9" s="3">
        <v>46272</v>
      </c>
      <c r="B9" s="1" t="s">
        <v>8</v>
      </c>
      <c r="C9" s="1" t="s">
        <v>20</v>
      </c>
      <c r="D9" s="1" t="s">
        <v>34</v>
      </c>
      <c r="E9" s="1">
        <v>8</v>
      </c>
      <c r="F9" s="1" t="s">
        <v>46</v>
      </c>
      <c r="G9" s="1">
        <v>20</v>
      </c>
      <c r="H9" s="1" t="s">
        <v>56</v>
      </c>
      <c r="I9" s="1" t="s">
        <v>62</v>
      </c>
    </row>
    <row r="10" spans="1:9" x14ac:dyDescent="0.25">
      <c r="A10" s="3">
        <v>46273</v>
      </c>
      <c r="B10" s="1" t="s">
        <v>9</v>
      </c>
      <c r="C10" s="1" t="s">
        <v>21</v>
      </c>
      <c r="D10" s="1" t="s">
        <v>29</v>
      </c>
      <c r="E10" s="1">
        <v>60</v>
      </c>
      <c r="F10" s="1" t="s">
        <v>47</v>
      </c>
      <c r="G10" s="1">
        <v>10</v>
      </c>
      <c r="H10" s="1" t="s">
        <v>53</v>
      </c>
      <c r="I10" s="1" t="s">
        <v>61</v>
      </c>
    </row>
    <row r="11" spans="1:9" x14ac:dyDescent="0.25">
      <c r="A11" s="1" t="s">
        <v>1</v>
      </c>
      <c r="B11" s="1" t="s">
        <v>10</v>
      </c>
      <c r="C11" s="1" t="s">
        <v>22</v>
      </c>
      <c r="D11" s="1" t="s">
        <v>34</v>
      </c>
      <c r="E11" s="1">
        <v>80</v>
      </c>
      <c r="F11" s="1" t="s">
        <v>46</v>
      </c>
      <c r="G11" s="1">
        <v>100</v>
      </c>
      <c r="H11" s="1" t="s">
        <v>51</v>
      </c>
      <c r="I11" s="1" t="s">
        <v>61</v>
      </c>
    </row>
    <row r="12" spans="1:9" x14ac:dyDescent="0.25">
      <c r="A12" s="4">
        <v>46275</v>
      </c>
      <c r="B12" s="1" t="s">
        <v>11</v>
      </c>
      <c r="C12" s="1" t="s">
        <v>48</v>
      </c>
      <c r="D12" s="1" t="s">
        <v>35</v>
      </c>
      <c r="E12" s="1">
        <v>50</v>
      </c>
      <c r="F12" s="1" t="s">
        <v>41</v>
      </c>
      <c r="G12" s="1">
        <v>70</v>
      </c>
      <c r="H12" s="1" t="s">
        <v>57</v>
      </c>
      <c r="I12" s="1" t="s">
        <v>63</v>
      </c>
    </row>
    <row r="13" spans="1:9" x14ac:dyDescent="0.25">
      <c r="A13" s="4">
        <v>46276</v>
      </c>
      <c r="B13" s="1" t="s">
        <v>12</v>
      </c>
      <c r="C13" s="1" t="s">
        <v>23</v>
      </c>
      <c r="D13" s="1" t="s">
        <v>36</v>
      </c>
      <c r="E13" s="1">
        <v>30</v>
      </c>
      <c r="F13" s="1" t="s">
        <v>41</v>
      </c>
      <c r="G13" s="1">
        <v>120</v>
      </c>
      <c r="H13" s="1" t="s">
        <v>58</v>
      </c>
      <c r="I13" s="1" t="s">
        <v>61</v>
      </c>
    </row>
    <row r="14" spans="1:9" x14ac:dyDescent="0.25">
      <c r="A14" s="4">
        <v>46277</v>
      </c>
      <c r="B14" s="1" t="s">
        <v>24</v>
      </c>
      <c r="C14" s="1" t="s">
        <v>26</v>
      </c>
      <c r="D14" s="1" t="s">
        <v>37</v>
      </c>
      <c r="E14" s="1">
        <v>25</v>
      </c>
      <c r="F14" s="1" t="s">
        <v>41</v>
      </c>
      <c r="G14" s="1">
        <v>350</v>
      </c>
      <c r="H14" s="1" t="s">
        <v>59</v>
      </c>
      <c r="I14" s="1" t="s">
        <v>62</v>
      </c>
    </row>
    <row r="15" spans="1:9" x14ac:dyDescent="0.25">
      <c r="A15" s="4">
        <v>46278</v>
      </c>
      <c r="B15" s="1" t="s">
        <v>25</v>
      </c>
      <c r="C15" s="1" t="s">
        <v>27</v>
      </c>
      <c r="D15" s="1" t="s">
        <v>34</v>
      </c>
      <c r="E15" s="1">
        <v>20</v>
      </c>
      <c r="F15" s="1" t="s">
        <v>41</v>
      </c>
      <c r="G15" s="1">
        <v>2500</v>
      </c>
      <c r="H15" s="1" t="s">
        <v>60</v>
      </c>
      <c r="I15" s="1" t="s">
        <v>61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0DEC-6B06-4C6C-ACE8-3DB623B173D1}">
  <dimension ref="A2:B14"/>
  <sheetViews>
    <sheetView tabSelected="1" workbookViewId="0">
      <selection activeCell="G18" sqref="A1:XFD1048576"/>
    </sheetView>
  </sheetViews>
  <sheetFormatPr defaultRowHeight="15" x14ac:dyDescent="0.25"/>
  <cols>
    <col min="1" max="1" width="18.28515625" bestFit="1" customWidth="1"/>
    <col min="2" max="2" width="14.85546875" bestFit="1" customWidth="1"/>
    <col min="3" max="3" width="10.7109375" bestFit="1" customWidth="1"/>
    <col min="4" max="4" width="11.28515625" bestFit="1" customWidth="1"/>
    <col min="5" max="5" width="9.7109375" bestFit="1" customWidth="1"/>
    <col min="6" max="6" width="11.28515625" bestFit="1" customWidth="1"/>
  </cols>
  <sheetData>
    <row r="2" spans="1:2" x14ac:dyDescent="0.25">
      <c r="A2" s="14" t="s">
        <v>65</v>
      </c>
      <c r="B2" t="s">
        <v>91</v>
      </c>
    </row>
    <row r="4" spans="1:2" x14ac:dyDescent="0.25">
      <c r="A4" s="14" t="s">
        <v>88</v>
      </c>
      <c r="B4" t="s">
        <v>90</v>
      </c>
    </row>
    <row r="5" spans="1:2" x14ac:dyDescent="0.25">
      <c r="A5" s="15" t="s">
        <v>51</v>
      </c>
      <c r="B5" s="17"/>
    </row>
    <row r="6" spans="1:2" x14ac:dyDescent="0.25">
      <c r="A6" s="16" t="s">
        <v>85</v>
      </c>
      <c r="B6" s="17">
        <v>3600</v>
      </c>
    </row>
    <row r="7" spans="1:2" x14ac:dyDescent="0.25">
      <c r="A7" s="16" t="s">
        <v>84</v>
      </c>
      <c r="B7" s="17">
        <v>8000</v>
      </c>
    </row>
    <row r="8" spans="1:2" x14ac:dyDescent="0.25">
      <c r="A8" s="15" t="s">
        <v>52</v>
      </c>
      <c r="B8" s="17"/>
    </row>
    <row r="9" spans="1:2" x14ac:dyDescent="0.25">
      <c r="A9" s="16" t="s">
        <v>84</v>
      </c>
      <c r="B9" s="17">
        <v>50000</v>
      </c>
    </row>
    <row r="10" spans="1:2" x14ac:dyDescent="0.25">
      <c r="A10" s="15" t="s">
        <v>53</v>
      </c>
      <c r="B10" s="17"/>
    </row>
    <row r="11" spans="1:2" x14ac:dyDescent="0.25">
      <c r="A11" s="16" t="s">
        <v>85</v>
      </c>
      <c r="B11" s="17">
        <v>8750</v>
      </c>
    </row>
    <row r="12" spans="1:2" x14ac:dyDescent="0.25">
      <c r="A12" s="15" t="s">
        <v>56</v>
      </c>
      <c r="B12" s="17"/>
    </row>
    <row r="13" spans="1:2" x14ac:dyDescent="0.25">
      <c r="A13" s="16" t="s">
        <v>84</v>
      </c>
      <c r="B13" s="17">
        <v>160</v>
      </c>
    </row>
    <row r="14" spans="1:2" x14ac:dyDescent="0.25">
      <c r="A14" s="15" t="s">
        <v>89</v>
      </c>
      <c r="B14" s="17">
        <v>70510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7F8F-FA12-4DB6-BA30-252EC9D96B35}">
  <dimension ref="A1:I14"/>
  <sheetViews>
    <sheetView workbookViewId="0">
      <selection activeCell="F19" sqref="F19"/>
    </sheetView>
  </sheetViews>
  <sheetFormatPr defaultRowHeight="15" x14ac:dyDescent="0.25"/>
  <cols>
    <col min="1" max="1" width="10.42578125" style="6" bestFit="1" customWidth="1"/>
    <col min="2" max="2" width="18.28515625" style="6" bestFit="1" customWidth="1"/>
    <col min="3" max="3" width="13.42578125" style="6" bestFit="1" customWidth="1"/>
    <col min="4" max="4" width="14.28515625" style="6" customWidth="1"/>
    <col min="5" max="5" width="9.28515625" style="6" bestFit="1" customWidth="1"/>
    <col min="6" max="6" width="9.7109375" style="6" bestFit="1" customWidth="1"/>
    <col min="7" max="7" width="10.7109375" style="6" bestFit="1" customWidth="1"/>
    <col min="8" max="8" width="17.5703125" style="6" bestFit="1" customWidth="1"/>
    <col min="9" max="9" width="18.85546875" style="6" bestFit="1" customWidth="1"/>
    <col min="10" max="16384" width="9.140625" style="6"/>
  </cols>
  <sheetData>
    <row r="1" spans="1:9" ht="18.75" x14ac:dyDescent="0.3">
      <c r="A1" s="18" t="s">
        <v>0</v>
      </c>
      <c r="B1" s="18" t="s">
        <v>2</v>
      </c>
      <c r="C1" s="18" t="s">
        <v>14</v>
      </c>
      <c r="D1" s="18" t="s">
        <v>64</v>
      </c>
      <c r="E1" s="18" t="s">
        <v>38</v>
      </c>
      <c r="F1" s="18" t="s">
        <v>49</v>
      </c>
      <c r="G1" s="18" t="s">
        <v>86</v>
      </c>
      <c r="H1" s="18" t="s">
        <v>50</v>
      </c>
      <c r="I1" s="18" t="s">
        <v>65</v>
      </c>
    </row>
    <row r="2" spans="1:9" x14ac:dyDescent="0.25">
      <c r="A2" s="7">
        <v>46266</v>
      </c>
      <c r="B2" s="8" t="s">
        <v>7</v>
      </c>
      <c r="C2" s="8" t="s">
        <v>73</v>
      </c>
      <c r="D2" s="8" t="s">
        <v>82</v>
      </c>
      <c r="E2" s="9">
        <v>20</v>
      </c>
      <c r="F2" s="13">
        <v>15</v>
      </c>
      <c r="G2" s="13">
        <f t="shared" ref="G2:G14" si="0">E2*F2</f>
        <v>300</v>
      </c>
      <c r="H2" s="8" t="s">
        <v>51</v>
      </c>
      <c r="I2" s="8" t="s">
        <v>61</v>
      </c>
    </row>
    <row r="3" spans="1:9" x14ac:dyDescent="0.25">
      <c r="A3" s="7">
        <v>46267</v>
      </c>
      <c r="B3" s="8" t="s">
        <v>66</v>
      </c>
      <c r="C3" s="8" t="s">
        <v>16</v>
      </c>
      <c r="D3" s="8" t="s">
        <v>29</v>
      </c>
      <c r="E3" s="10">
        <v>10</v>
      </c>
      <c r="F3" s="13">
        <v>7</v>
      </c>
      <c r="G3" s="13">
        <f t="shared" si="0"/>
        <v>70</v>
      </c>
      <c r="H3" s="8" t="s">
        <v>52</v>
      </c>
      <c r="I3" s="8" t="s">
        <v>87</v>
      </c>
    </row>
    <row r="4" spans="1:9" x14ac:dyDescent="0.25">
      <c r="A4" s="7">
        <v>46268</v>
      </c>
      <c r="B4" s="8" t="s">
        <v>67</v>
      </c>
      <c r="C4" s="8" t="s">
        <v>17</v>
      </c>
      <c r="D4" s="8" t="s">
        <v>29</v>
      </c>
      <c r="E4" s="11">
        <v>15</v>
      </c>
      <c r="F4" s="13">
        <v>45</v>
      </c>
      <c r="G4" s="13">
        <f t="shared" si="0"/>
        <v>675</v>
      </c>
      <c r="H4" s="8" t="s">
        <v>53</v>
      </c>
      <c r="I4" s="8" t="s">
        <v>61</v>
      </c>
    </row>
    <row r="5" spans="1:9" x14ac:dyDescent="0.25">
      <c r="A5" s="7">
        <v>46269</v>
      </c>
      <c r="B5" s="8" t="s">
        <v>5</v>
      </c>
      <c r="C5" s="8" t="s">
        <v>74</v>
      </c>
      <c r="D5" s="8" t="s">
        <v>31</v>
      </c>
      <c r="E5" s="10">
        <v>6</v>
      </c>
      <c r="F5" s="13">
        <v>25</v>
      </c>
      <c r="G5" s="13">
        <f t="shared" si="0"/>
        <v>150</v>
      </c>
      <c r="H5" s="8" t="s">
        <v>56</v>
      </c>
      <c r="I5" s="8" t="s">
        <v>87</v>
      </c>
    </row>
    <row r="6" spans="1:9" x14ac:dyDescent="0.25">
      <c r="A6" s="7">
        <v>46270</v>
      </c>
      <c r="B6" s="8" t="s">
        <v>68</v>
      </c>
      <c r="C6" s="8" t="s">
        <v>75</v>
      </c>
      <c r="D6" s="8" t="s">
        <v>83</v>
      </c>
      <c r="E6" s="10">
        <v>40</v>
      </c>
      <c r="F6" s="13">
        <v>150</v>
      </c>
      <c r="G6" s="13">
        <f t="shared" si="0"/>
        <v>6000</v>
      </c>
      <c r="H6" s="8" t="s">
        <v>52</v>
      </c>
      <c r="I6" s="8" t="s">
        <v>61</v>
      </c>
    </row>
    <row r="7" spans="1:9" x14ac:dyDescent="0.25">
      <c r="A7" s="7">
        <v>46271</v>
      </c>
      <c r="B7" s="8" t="s">
        <v>7</v>
      </c>
      <c r="C7" s="8" t="s">
        <v>76</v>
      </c>
      <c r="D7" s="8" t="s">
        <v>83</v>
      </c>
      <c r="E7" s="11">
        <v>35</v>
      </c>
      <c r="F7" s="13">
        <v>35</v>
      </c>
      <c r="G7" s="13">
        <f t="shared" si="0"/>
        <v>1225</v>
      </c>
      <c r="H7" s="8" t="s">
        <v>51</v>
      </c>
      <c r="I7" s="8" t="s">
        <v>61</v>
      </c>
    </row>
    <row r="8" spans="1:9" x14ac:dyDescent="0.25">
      <c r="A8" s="7">
        <v>46272</v>
      </c>
      <c r="B8" s="8" t="s">
        <v>8</v>
      </c>
      <c r="C8" s="8" t="s">
        <v>77</v>
      </c>
      <c r="D8" s="8" t="s">
        <v>84</v>
      </c>
      <c r="E8" s="10">
        <v>8</v>
      </c>
      <c r="F8" s="13">
        <v>20</v>
      </c>
      <c r="G8" s="13">
        <f t="shared" si="0"/>
        <v>160</v>
      </c>
      <c r="H8" s="8" t="s">
        <v>56</v>
      </c>
      <c r="I8" s="8" t="s">
        <v>87</v>
      </c>
    </row>
    <row r="9" spans="1:9" x14ac:dyDescent="0.25">
      <c r="A9" s="7">
        <v>46273</v>
      </c>
      <c r="B9" s="8" t="s">
        <v>69</v>
      </c>
      <c r="C9" s="8" t="s">
        <v>21</v>
      </c>
      <c r="D9" s="8" t="s">
        <v>29</v>
      </c>
      <c r="E9" s="12">
        <v>60</v>
      </c>
      <c r="F9" s="13">
        <v>10</v>
      </c>
      <c r="G9" s="13">
        <f t="shared" si="0"/>
        <v>600</v>
      </c>
      <c r="H9" s="8" t="s">
        <v>53</v>
      </c>
      <c r="I9" s="8" t="s">
        <v>61</v>
      </c>
    </row>
    <row r="10" spans="1:9" x14ac:dyDescent="0.25">
      <c r="A10" s="7">
        <v>46274</v>
      </c>
      <c r="B10" s="8" t="s">
        <v>70</v>
      </c>
      <c r="C10" s="8" t="s">
        <v>78</v>
      </c>
      <c r="D10" s="8" t="s">
        <v>84</v>
      </c>
      <c r="E10" s="10">
        <v>80</v>
      </c>
      <c r="F10" s="13">
        <v>100</v>
      </c>
      <c r="G10" s="13">
        <f t="shared" si="0"/>
        <v>8000</v>
      </c>
      <c r="H10" s="8" t="s">
        <v>51</v>
      </c>
      <c r="I10" s="8" t="s">
        <v>61</v>
      </c>
    </row>
    <row r="11" spans="1:9" x14ac:dyDescent="0.25">
      <c r="A11" s="7">
        <v>46275</v>
      </c>
      <c r="B11" s="8" t="s">
        <v>71</v>
      </c>
      <c r="C11" s="8" t="s">
        <v>79</v>
      </c>
      <c r="D11" s="8" t="s">
        <v>83</v>
      </c>
      <c r="E11" s="10">
        <v>50</v>
      </c>
      <c r="F11" s="13">
        <v>70</v>
      </c>
      <c r="G11" s="13">
        <f t="shared" si="0"/>
        <v>3500</v>
      </c>
      <c r="H11" s="8" t="s">
        <v>56</v>
      </c>
      <c r="I11" s="8" t="s">
        <v>87</v>
      </c>
    </row>
    <row r="12" spans="1:9" x14ac:dyDescent="0.25">
      <c r="A12" s="7">
        <v>46276</v>
      </c>
      <c r="B12" s="8" t="s">
        <v>12</v>
      </c>
      <c r="C12" s="8" t="s">
        <v>80</v>
      </c>
      <c r="D12" s="8" t="s">
        <v>85</v>
      </c>
      <c r="E12" s="10">
        <v>30</v>
      </c>
      <c r="F12" s="13">
        <v>120</v>
      </c>
      <c r="G12" s="13">
        <f t="shared" si="0"/>
        <v>3600</v>
      </c>
      <c r="H12" s="8" t="s">
        <v>51</v>
      </c>
      <c r="I12" s="8" t="s">
        <v>61</v>
      </c>
    </row>
    <row r="13" spans="1:9" x14ac:dyDescent="0.25">
      <c r="A13" s="7">
        <v>46277</v>
      </c>
      <c r="B13" s="8" t="s">
        <v>72</v>
      </c>
      <c r="C13" s="8" t="s">
        <v>26</v>
      </c>
      <c r="D13" s="8" t="s">
        <v>85</v>
      </c>
      <c r="E13" s="10">
        <v>25</v>
      </c>
      <c r="F13" s="13">
        <v>350</v>
      </c>
      <c r="G13" s="13">
        <f t="shared" si="0"/>
        <v>8750</v>
      </c>
      <c r="H13" s="8" t="s">
        <v>53</v>
      </c>
      <c r="I13" s="8" t="s">
        <v>87</v>
      </c>
    </row>
    <row r="14" spans="1:9" x14ac:dyDescent="0.25">
      <c r="A14" s="7">
        <v>46278</v>
      </c>
      <c r="B14" s="8" t="s">
        <v>72</v>
      </c>
      <c r="C14" s="8" t="s">
        <v>81</v>
      </c>
      <c r="D14" s="8" t="s">
        <v>84</v>
      </c>
      <c r="E14" s="10">
        <v>20</v>
      </c>
      <c r="F14" s="13">
        <v>2500</v>
      </c>
      <c r="G14" s="13">
        <f t="shared" si="0"/>
        <v>50000</v>
      </c>
      <c r="H14" s="8" t="s">
        <v>52</v>
      </c>
      <c r="I14" s="8" t="s">
        <v>61</v>
      </c>
    </row>
  </sheetData>
  <conditionalFormatting sqref="I2:I14">
    <cfRule type="containsText" dxfId="1" priority="1" operator="containsText" text="Pending">
      <formula>NOT(ISERROR(SEARCH("Pending",I2)))</formula>
    </cfRule>
    <cfRule type="containsText" dxfId="0" priority="2" operator="containsText" text="Delivered">
      <formula>NOT(ISERROR(SEARCH("Delivered",I2)))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C614-095F-4EA0-BC95-5E668E7BE6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row_data_Sheet1</vt:lpstr>
      <vt:lpstr>pivot_Table_with_bar and_chart</vt:lpstr>
      <vt:lpstr>clean_data_Sheet2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DHAMAL OF TOTAL</cp:lastModifiedBy>
  <dcterms:created xsi:type="dcterms:W3CDTF">2026-09-28T04:50:04Z</dcterms:created>
  <dcterms:modified xsi:type="dcterms:W3CDTF">2026-09-29T06:51:16Z</dcterms:modified>
</cp:coreProperties>
</file>