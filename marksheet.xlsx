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rojects\"/>
    </mc:Choice>
  </mc:AlternateContent>
  <xr:revisionPtr revIDLastSave="0" documentId="13_ncr:1_{085A3337-AB9A-4AE9-9ADC-C56F93F27F64}" xr6:coauthVersionLast="47" xr6:coauthVersionMax="47" xr10:uidLastSave="{00000000-0000-0000-0000-000000000000}"/>
  <bookViews>
    <workbookView xWindow="-120" yWindow="-120" windowWidth="20730" windowHeight="11160" xr2:uid="{ED949C6E-BE58-4CE5-8042-55FD79FE04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1" l="1"/>
  <c r="S15" i="1"/>
  <c r="S4" i="1"/>
  <c r="S5" i="1"/>
  <c r="S6" i="1"/>
  <c r="S7" i="1"/>
  <c r="S8" i="1"/>
  <c r="S10" i="1"/>
  <c r="S11" i="1"/>
  <c r="S12" i="1"/>
  <c r="S13" i="1"/>
  <c r="S14" i="1"/>
  <c r="R5" i="1"/>
  <c r="R6" i="1"/>
  <c r="Q5" i="1"/>
  <c r="Q6" i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T5" i="1" s="1"/>
  <c r="Q16" i="1"/>
  <c r="R16" i="1" s="1"/>
  <c r="T16" i="1" s="1"/>
  <c r="Q4" i="1"/>
  <c r="R4" i="1" s="1"/>
  <c r="S16" i="1" l="1"/>
  <c r="T6" i="1"/>
  <c r="T14" i="1"/>
  <c r="T10" i="1"/>
  <c r="T12" i="1"/>
  <c r="T8" i="1"/>
  <c r="T4" i="1"/>
  <c r="T15" i="1"/>
  <c r="T11" i="1"/>
  <c r="T7" i="1"/>
  <c r="T13" i="1"/>
  <c r="T9" i="1"/>
</calcChain>
</file>

<file path=xl/sharedStrings.xml><?xml version="1.0" encoding="utf-8"?>
<sst xmlns="http://schemas.openxmlformats.org/spreadsheetml/2006/main" count="43" uniqueCount="43">
  <si>
    <t>08cse1</t>
  </si>
  <si>
    <t>08cse2</t>
  </si>
  <si>
    <t>08cse3</t>
  </si>
  <si>
    <t>08cse4</t>
  </si>
  <si>
    <t>08cse5</t>
  </si>
  <si>
    <t>08cse6</t>
  </si>
  <si>
    <t>08cse7</t>
  </si>
  <si>
    <t>08cse8</t>
  </si>
  <si>
    <t>08cse9</t>
  </si>
  <si>
    <t>08cse10</t>
  </si>
  <si>
    <t>08cse11</t>
  </si>
  <si>
    <t>08cse12</t>
  </si>
  <si>
    <t>08cse13</t>
  </si>
  <si>
    <t>Dineshwarpaswan</t>
  </si>
  <si>
    <t>Mohan Sharam</t>
  </si>
  <si>
    <t>Rani kumari</t>
  </si>
  <si>
    <t>Mamta Takur</t>
  </si>
  <si>
    <t>Raju Ram</t>
  </si>
  <si>
    <t>Neha Thaper</t>
  </si>
  <si>
    <t>Suresh Persad</t>
  </si>
  <si>
    <t>Mohit Misra</t>
  </si>
  <si>
    <t>Nidhi kumari</t>
  </si>
  <si>
    <t>Niranjan kumar</t>
  </si>
  <si>
    <t>Karan Rajput</t>
  </si>
  <si>
    <t>Madu Singha</t>
  </si>
  <si>
    <t>Prity yadav</t>
  </si>
  <si>
    <t>PHY</t>
  </si>
  <si>
    <t>CHE</t>
  </si>
  <si>
    <t>MATH</t>
  </si>
  <si>
    <t>ENGLISH</t>
  </si>
  <si>
    <t>HINDI</t>
  </si>
  <si>
    <t>COMPUTER</t>
  </si>
  <si>
    <t>Total Marks</t>
  </si>
  <si>
    <t>Obtained Marks</t>
  </si>
  <si>
    <t>Pass/Fail</t>
  </si>
  <si>
    <t>Rank</t>
  </si>
  <si>
    <t>Persentage %</t>
  </si>
  <si>
    <t>Student Section</t>
  </si>
  <si>
    <t>Score Card  Section</t>
  </si>
  <si>
    <t>ROLL No.</t>
  </si>
  <si>
    <t>Subject Section With Marks</t>
  </si>
  <si>
    <t>MARKSHEET OF STUDENTS</t>
  </si>
  <si>
    <t xml:space="preserve"> 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</si>
</sst>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dobe Caslon Pro"/>
      <family val="1"/>
    </font>
    <font>
      <b/>
      <sz val="20"/>
      <color theme="0"/>
      <name val="Arno Pro Caption"/>
      <family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3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6F8F-2D05-4768-A3F0-55AB99DD4209}">
  <dimension ref="H1:V16"/>
  <sheetViews>
    <sheetView tabSelected="1" topLeftCell="G1" workbookViewId="0">
      <selection activeCell="V3" sqref="V3"/>
    </sheetView>
  </sheetViews>
  <sheetFormatPr defaultRowHeight="15" x14ac:dyDescent="0.25"/>
  <cols>
    <col min="8" max="8" width="9.85546875" bestFit="1" customWidth="1"/>
    <col min="9" max="9" width="17.42578125" bestFit="1" customWidth="1"/>
    <col min="15" max="15" width="12" bestFit="1" customWidth="1"/>
    <col min="16" max="16" width="12.5703125" bestFit="1" customWidth="1"/>
    <col min="17" max="17" width="16.85546875" bestFit="1" customWidth="1"/>
    <col min="18" max="18" width="14.28515625" bestFit="1" customWidth="1"/>
    <col min="19" max="19" width="9.42578125" bestFit="1" customWidth="1"/>
  </cols>
  <sheetData>
    <row r="1" spans="8:22" ht="28.5" x14ac:dyDescent="0.55000000000000004">
      <c r="H1" s="9" t="s">
        <v>41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8:22" ht="24.75" x14ac:dyDescent="0.7">
      <c r="H2" s="8" t="s">
        <v>37</v>
      </c>
      <c r="I2" s="8"/>
      <c r="J2" s="7" t="s">
        <v>40</v>
      </c>
      <c r="K2" s="7"/>
      <c r="L2" s="7"/>
      <c r="M2" s="7"/>
      <c r="N2" s="7"/>
      <c r="O2" s="7"/>
      <c r="P2" s="8" t="s">
        <v>38</v>
      </c>
      <c r="Q2" s="8"/>
      <c r="R2" s="8"/>
      <c r="S2" s="8"/>
      <c r="T2" s="8"/>
    </row>
    <row r="3" spans="8:22" ht="15.75" x14ac:dyDescent="0.25">
      <c r="H3" s="3" t="s">
        <v>39</v>
      </c>
      <c r="I3" s="3" t="s">
        <v>42</v>
      </c>
      <c r="J3" s="6" t="s">
        <v>26</v>
      </c>
      <c r="K3" s="6" t="s">
        <v>27</v>
      </c>
      <c r="L3" s="6" t="s">
        <v>28</v>
      </c>
      <c r="M3" s="6" t="s">
        <v>29</v>
      </c>
      <c r="N3" s="6" t="s">
        <v>30</v>
      </c>
      <c r="O3" s="6" t="s">
        <v>31</v>
      </c>
      <c r="P3" s="3" t="s">
        <v>32</v>
      </c>
      <c r="Q3" s="3" t="s">
        <v>33</v>
      </c>
      <c r="R3" s="3" t="s">
        <v>36</v>
      </c>
      <c r="S3" s="3" t="s">
        <v>34</v>
      </c>
      <c r="T3" s="3" t="s">
        <v>35</v>
      </c>
    </row>
    <row r="4" spans="8:22" x14ac:dyDescent="0.25">
      <c r="H4" s="2" t="s">
        <v>0</v>
      </c>
      <c r="I4" s="2" t="s">
        <v>13</v>
      </c>
      <c r="J4" s="5">
        <v>45</v>
      </c>
      <c r="K4" s="5">
        <v>25</v>
      </c>
      <c r="L4" s="5">
        <v>30</v>
      </c>
      <c r="M4" s="5">
        <v>30</v>
      </c>
      <c r="N4" s="5">
        <v>28</v>
      </c>
      <c r="O4" s="5">
        <v>20</v>
      </c>
      <c r="P4" s="4">
        <v>600</v>
      </c>
      <c r="Q4" s="4">
        <f>SUM(J4:O4)</f>
        <v>178</v>
      </c>
      <c r="R4" s="4">
        <f>Q4*100/600</f>
        <v>29.666666666666668</v>
      </c>
      <c r="S4" s="4" t="str">
        <f>IF(Q4&gt;=180, "Pass","Fail")</f>
        <v>Fail</v>
      </c>
      <c r="T4" s="4">
        <f>RANK(R4,R4:R16,)</f>
        <v>11</v>
      </c>
    </row>
    <row r="5" spans="8:22" x14ac:dyDescent="0.25">
      <c r="H5" s="2" t="s">
        <v>1</v>
      </c>
      <c r="I5" s="2" t="s">
        <v>14</v>
      </c>
      <c r="J5" s="5">
        <v>45</v>
      </c>
      <c r="K5" s="5">
        <v>56</v>
      </c>
      <c r="L5" s="5">
        <v>80</v>
      </c>
      <c r="M5" s="5">
        <v>66</v>
      </c>
      <c r="N5" s="5">
        <v>43</v>
      </c>
      <c r="O5" s="5">
        <v>70</v>
      </c>
      <c r="P5" s="4">
        <v>600</v>
      </c>
      <c r="Q5" s="4">
        <f t="shared" ref="Q5:Q16" si="0">SUM(J5:O5)</f>
        <v>360</v>
      </c>
      <c r="R5" s="4">
        <f t="shared" ref="R5:R16" si="1">Q5*100/P5</f>
        <v>60</v>
      </c>
      <c r="S5" s="4" t="str">
        <f t="shared" ref="S5:S16" si="2">IF(Q5&gt;=180, "Pass","Fial")</f>
        <v>Pass</v>
      </c>
      <c r="T5" s="4">
        <f t="shared" ref="T5:T16" si="3">RANK(R5,R5:R17,)</f>
        <v>3</v>
      </c>
    </row>
    <row r="6" spans="8:22" x14ac:dyDescent="0.25">
      <c r="H6" s="2" t="s">
        <v>2</v>
      </c>
      <c r="I6" s="2" t="s">
        <v>15</v>
      </c>
      <c r="J6" s="5">
        <v>43</v>
      </c>
      <c r="K6" s="5">
        <v>35</v>
      </c>
      <c r="L6" s="5">
        <v>36</v>
      </c>
      <c r="M6" s="5">
        <v>44</v>
      </c>
      <c r="N6" s="5">
        <v>64</v>
      </c>
      <c r="O6" s="5">
        <v>45</v>
      </c>
      <c r="P6" s="4">
        <v>600</v>
      </c>
      <c r="Q6" s="4">
        <f t="shared" si="0"/>
        <v>267</v>
      </c>
      <c r="R6" s="4">
        <f t="shared" si="1"/>
        <v>44.5</v>
      </c>
      <c r="S6" s="4" t="str">
        <f t="shared" si="2"/>
        <v>Pass</v>
      </c>
      <c r="T6" s="4">
        <f t="shared" si="3"/>
        <v>9</v>
      </c>
    </row>
    <row r="7" spans="8:22" x14ac:dyDescent="0.25">
      <c r="H7" s="2" t="s">
        <v>3</v>
      </c>
      <c r="I7" s="2" t="s">
        <v>16</v>
      </c>
      <c r="J7" s="5">
        <v>56</v>
      </c>
      <c r="K7" s="5">
        <v>76</v>
      </c>
      <c r="L7" s="5">
        <v>45</v>
      </c>
      <c r="M7" s="5">
        <v>32</v>
      </c>
      <c r="N7" s="5">
        <v>34</v>
      </c>
      <c r="O7" s="5">
        <v>66</v>
      </c>
      <c r="P7" s="4">
        <v>600</v>
      </c>
      <c r="Q7" s="4">
        <f t="shared" si="0"/>
        <v>309</v>
      </c>
      <c r="R7" s="4">
        <f t="shared" si="1"/>
        <v>51.5</v>
      </c>
      <c r="S7" s="4" t="str">
        <f t="shared" si="2"/>
        <v>Pass</v>
      </c>
      <c r="T7" s="4">
        <f t="shared" si="3"/>
        <v>6</v>
      </c>
    </row>
    <row r="8" spans="8:22" x14ac:dyDescent="0.25">
      <c r="H8" s="2" t="s">
        <v>4</v>
      </c>
      <c r="I8" s="2" t="s">
        <v>17</v>
      </c>
      <c r="J8" s="5">
        <v>57</v>
      </c>
      <c r="K8" s="5">
        <v>56</v>
      </c>
      <c r="L8" s="5">
        <v>87</v>
      </c>
      <c r="M8" s="5">
        <v>76</v>
      </c>
      <c r="N8" s="5">
        <v>24</v>
      </c>
      <c r="O8" s="5">
        <v>34</v>
      </c>
      <c r="P8" s="4">
        <v>600</v>
      </c>
      <c r="Q8" s="4">
        <f t="shared" si="0"/>
        <v>334</v>
      </c>
      <c r="R8" s="4">
        <f t="shared" si="1"/>
        <v>55.666666666666664</v>
      </c>
      <c r="S8" s="4" t="str">
        <f t="shared" si="2"/>
        <v>Pass</v>
      </c>
      <c r="T8" s="4">
        <f t="shared" si="3"/>
        <v>3</v>
      </c>
    </row>
    <row r="9" spans="8:22" x14ac:dyDescent="0.25">
      <c r="H9" s="2" t="s">
        <v>5</v>
      </c>
      <c r="I9" s="2" t="s">
        <v>18</v>
      </c>
      <c r="J9" s="5">
        <v>40</v>
      </c>
      <c r="K9" s="5">
        <v>19</v>
      </c>
      <c r="L9" s="5">
        <v>28</v>
      </c>
      <c r="M9" s="5">
        <v>8</v>
      </c>
      <c r="N9" s="5">
        <v>68</v>
      </c>
      <c r="O9" s="5">
        <v>15</v>
      </c>
      <c r="P9" s="4">
        <v>600</v>
      </c>
      <c r="Q9" s="4">
        <f t="shared" si="0"/>
        <v>178</v>
      </c>
      <c r="R9" s="4">
        <f t="shared" si="1"/>
        <v>29.666666666666668</v>
      </c>
      <c r="S9" s="4" t="str">
        <f>IF(Q9&gt;=180, "Pass","Fail")</f>
        <v>Fail</v>
      </c>
      <c r="T9" s="4">
        <f t="shared" si="3"/>
        <v>7</v>
      </c>
    </row>
    <row r="10" spans="8:22" x14ac:dyDescent="0.25">
      <c r="H10" s="2" t="s">
        <v>6</v>
      </c>
      <c r="I10" s="2" t="s">
        <v>19</v>
      </c>
      <c r="J10" s="5">
        <v>99</v>
      </c>
      <c r="K10" s="5">
        <v>65</v>
      </c>
      <c r="L10" s="5">
        <v>68</v>
      </c>
      <c r="M10" s="5">
        <v>76</v>
      </c>
      <c r="N10" s="5">
        <v>30</v>
      </c>
      <c r="O10" s="5">
        <v>55</v>
      </c>
      <c r="P10" s="4">
        <v>600</v>
      </c>
      <c r="Q10" s="4">
        <f t="shared" si="0"/>
        <v>393</v>
      </c>
      <c r="R10" s="4">
        <f t="shared" si="1"/>
        <v>65.5</v>
      </c>
      <c r="S10" s="4" t="str">
        <f t="shared" si="2"/>
        <v>Pass</v>
      </c>
      <c r="T10" s="4">
        <f t="shared" si="3"/>
        <v>1</v>
      </c>
    </row>
    <row r="11" spans="8:22" x14ac:dyDescent="0.25">
      <c r="H11" s="2" t="s">
        <v>7</v>
      </c>
      <c r="I11" s="2" t="s">
        <v>20</v>
      </c>
      <c r="J11" s="5">
        <v>89</v>
      </c>
      <c r="K11" s="5">
        <v>34</v>
      </c>
      <c r="L11" s="5">
        <v>65</v>
      </c>
      <c r="M11" s="5">
        <v>65</v>
      </c>
      <c r="N11" s="5">
        <v>25</v>
      </c>
      <c r="O11" s="5">
        <v>34</v>
      </c>
      <c r="P11" s="4">
        <v>600</v>
      </c>
      <c r="Q11" s="4">
        <f t="shared" si="0"/>
        <v>312</v>
      </c>
      <c r="R11" s="4">
        <f t="shared" si="1"/>
        <v>52</v>
      </c>
      <c r="S11" s="4" t="str">
        <f t="shared" si="2"/>
        <v>Pass</v>
      </c>
      <c r="T11" s="4">
        <f t="shared" si="3"/>
        <v>3</v>
      </c>
    </row>
    <row r="12" spans="8:22" x14ac:dyDescent="0.25">
      <c r="H12" s="2" t="s">
        <v>8</v>
      </c>
      <c r="I12" s="2" t="s">
        <v>21</v>
      </c>
      <c r="J12" s="5">
        <v>78</v>
      </c>
      <c r="K12" s="5">
        <v>43</v>
      </c>
      <c r="L12" s="5">
        <v>42</v>
      </c>
      <c r="M12" s="5">
        <v>54</v>
      </c>
      <c r="N12" s="5">
        <v>56</v>
      </c>
      <c r="O12" s="5">
        <v>56</v>
      </c>
      <c r="P12" s="4">
        <v>600</v>
      </c>
      <c r="Q12" s="4">
        <f t="shared" si="0"/>
        <v>329</v>
      </c>
      <c r="R12" s="4">
        <f t="shared" si="1"/>
        <v>54.833333333333336</v>
      </c>
      <c r="S12" s="4" t="str">
        <f t="shared" si="2"/>
        <v>Pass</v>
      </c>
      <c r="T12" s="4">
        <f t="shared" si="3"/>
        <v>2</v>
      </c>
    </row>
    <row r="13" spans="8:22" x14ac:dyDescent="0.25">
      <c r="H13" s="2" t="s">
        <v>9</v>
      </c>
      <c r="I13" s="2" t="s">
        <v>22</v>
      </c>
      <c r="J13" s="5">
        <v>78</v>
      </c>
      <c r="K13" s="5">
        <v>53</v>
      </c>
      <c r="L13" s="5">
        <v>28</v>
      </c>
      <c r="M13" s="5">
        <v>44</v>
      </c>
      <c r="N13" s="5">
        <v>78</v>
      </c>
      <c r="O13" s="5">
        <v>87</v>
      </c>
      <c r="P13" s="4">
        <v>600</v>
      </c>
      <c r="Q13" s="4">
        <f t="shared" si="0"/>
        <v>368</v>
      </c>
      <c r="R13" s="4">
        <f t="shared" si="1"/>
        <v>61.333333333333336</v>
      </c>
      <c r="S13" s="4" t="str">
        <f t="shared" si="2"/>
        <v>Pass</v>
      </c>
      <c r="T13" s="4">
        <f t="shared" si="3"/>
        <v>1</v>
      </c>
    </row>
    <row r="14" spans="8:22" x14ac:dyDescent="0.25">
      <c r="H14" s="2" t="s">
        <v>10</v>
      </c>
      <c r="I14" s="2" t="s">
        <v>23</v>
      </c>
      <c r="J14" s="5">
        <v>67</v>
      </c>
      <c r="K14" s="5">
        <v>43</v>
      </c>
      <c r="L14" s="5">
        <v>45</v>
      </c>
      <c r="M14" s="5">
        <v>32</v>
      </c>
      <c r="N14" s="5">
        <v>55</v>
      </c>
      <c r="O14" s="5">
        <v>26</v>
      </c>
      <c r="P14" s="4">
        <v>600</v>
      </c>
      <c r="Q14" s="4">
        <f t="shared" si="0"/>
        <v>268</v>
      </c>
      <c r="R14" s="4">
        <f t="shared" si="1"/>
        <v>44.666666666666664</v>
      </c>
      <c r="S14" s="4" t="str">
        <f t="shared" si="2"/>
        <v>Pass</v>
      </c>
      <c r="T14" s="4">
        <f t="shared" si="3"/>
        <v>2</v>
      </c>
      <c r="V14" s="1"/>
    </row>
    <row r="15" spans="8:22" x14ac:dyDescent="0.25">
      <c r="H15" s="2" t="s">
        <v>11</v>
      </c>
      <c r="I15" s="2" t="s">
        <v>24</v>
      </c>
      <c r="J15" s="5">
        <v>26</v>
      </c>
      <c r="K15" s="5">
        <v>35</v>
      </c>
      <c r="L15" s="5">
        <v>34</v>
      </c>
      <c r="M15" s="5">
        <v>27</v>
      </c>
      <c r="N15" s="5">
        <v>28</v>
      </c>
      <c r="O15" s="5">
        <v>22</v>
      </c>
      <c r="P15" s="4">
        <v>600</v>
      </c>
      <c r="Q15" s="4">
        <f t="shared" si="0"/>
        <v>172</v>
      </c>
      <c r="R15" s="4">
        <f t="shared" si="1"/>
        <v>28.666666666666668</v>
      </c>
      <c r="S15" s="4" t="str">
        <f>IF(Q15&gt;=180, "Pass","Fail")</f>
        <v>Fail</v>
      </c>
      <c r="T15" s="4">
        <f t="shared" si="3"/>
        <v>2</v>
      </c>
    </row>
    <row r="16" spans="8:22" x14ac:dyDescent="0.25">
      <c r="H16" s="2" t="s">
        <v>12</v>
      </c>
      <c r="I16" s="2" t="s">
        <v>25</v>
      </c>
      <c r="J16" s="5">
        <v>36</v>
      </c>
      <c r="K16" s="5">
        <v>20</v>
      </c>
      <c r="L16" s="5">
        <v>65</v>
      </c>
      <c r="M16" s="5">
        <v>50</v>
      </c>
      <c r="N16" s="5">
        <v>43</v>
      </c>
      <c r="O16" s="5">
        <v>61</v>
      </c>
      <c r="P16" s="4">
        <v>600</v>
      </c>
      <c r="Q16" s="4">
        <f t="shared" si="0"/>
        <v>275</v>
      </c>
      <c r="R16" s="4">
        <f t="shared" si="1"/>
        <v>45.833333333333336</v>
      </c>
      <c r="S16" s="4" t="str">
        <f t="shared" si="2"/>
        <v>Pass</v>
      </c>
      <c r="T16" s="4">
        <f t="shared" si="3"/>
        <v>1</v>
      </c>
    </row>
  </sheetData>
  <mergeCells count="4">
    <mergeCell ref="J2:O2"/>
    <mergeCell ref="P2:T2"/>
    <mergeCell ref="H2:I2"/>
    <mergeCell ref="H1:T1"/>
  </mergeCells>
  <phoneticPr fontId="2" type="noConversion"/>
  <conditionalFormatting sqref="S4:S16">
    <cfRule type="containsText" dxfId="1" priority="1" operator="containsText" text="Fail">
      <formula>NOT(ISERROR(SEARCH("Fail",S4)))</formula>
    </cfRule>
    <cfRule type="containsText" dxfId="0" priority="3" operator="containsText" text="Pass">
      <formula>NOT(ISERROR(SEARCH("Pass",S4)))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DHAMAL OF TOTAL</dc:creator>
  <cp:lastModifiedBy>DHAMAL OF TOTAL</cp:lastModifiedBy>
  <dcterms:created xsi:type="dcterms:W3CDTF">2026-10-01T18:11:10Z</dcterms:created>
  <dcterms:modified xsi:type="dcterms:W3CDTF">2026-10-03T10:47:14Z</dcterms:modified>
</cp:coreProperties>
</file>