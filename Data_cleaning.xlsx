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3" i="1"/>
  <c r="K4"/>
  <c r="K5"/>
  <c r="K6"/>
  <c r="K7"/>
  <c r="K8"/>
  <c r="K9"/>
  <c r="K10"/>
  <c r="K11"/>
  <c r="K12"/>
  <c r="K13"/>
  <c r="K2"/>
  <c r="I3"/>
  <c r="I4"/>
  <c r="I5"/>
  <c r="I6"/>
  <c r="I7"/>
  <c r="I8"/>
  <c r="I9"/>
  <c r="I10"/>
  <c r="I11"/>
  <c r="I12"/>
  <c r="I13"/>
  <c r="I2"/>
  <c r="F3"/>
  <c r="F4"/>
  <c r="F5"/>
  <c r="F6"/>
  <c r="F7"/>
  <c r="F8"/>
  <c r="F9"/>
  <c r="F10"/>
  <c r="F11"/>
  <c r="F12"/>
  <c r="F13"/>
  <c r="F2"/>
  <c r="D9"/>
  <c r="D10"/>
  <c r="D11"/>
  <c r="D12"/>
  <c r="D13"/>
  <c r="D3"/>
  <c r="D4"/>
  <c r="D5"/>
  <c r="D6"/>
  <c r="D7"/>
  <c r="D8"/>
  <c r="D2"/>
  <c r="B3"/>
  <c r="B4"/>
  <c r="B5"/>
  <c r="B6"/>
  <c r="B7"/>
  <c r="B8"/>
  <c r="B9"/>
  <c r="B10"/>
  <c r="B11"/>
  <c r="B12"/>
  <c r="B13"/>
  <c r="B2"/>
</calcChain>
</file>

<file path=xl/sharedStrings.xml><?xml version="1.0" encoding="utf-8"?>
<sst xmlns="http://schemas.openxmlformats.org/spreadsheetml/2006/main" count="102" uniqueCount="84">
  <si>
    <t>PRIYA MEHTA, 18 Rohani Sector 7 Near Metro,Delhi,Female, Existing, Laptop,2,5500</t>
  </si>
  <si>
    <t>RAHUL SHARMA, Gali No 4 Laxmi Nagar Near Mother Dairy, Delhi, Male, exiting, Printer, 3, 18500</t>
  </si>
  <si>
    <t xml:space="preserve">AMIT KUMAR, Sector 62 Block B Near Electronice City Metro, Utter Pradesh , male, Exsiting, </t>
  </si>
  <si>
    <t>neha  singh, Flat 204 indrapuram Shipra Mall Road, Utter Pradesh, Female , New Customer , Laptop, 1 , 62000</t>
  </si>
  <si>
    <t>rakesh verma, plot 18 DLF Phase 2 Near Cyber Hub, Hariyana, Male, Existing Customer,  keyboard, 4, 45000</t>
  </si>
  <si>
    <t>ANJALI GUPTA , 12 Vaisali Nager Ajmer Road Near Central park , Rajsthan, Female ,Existing , Mobile, 2 , 28500</t>
  </si>
  <si>
    <t>Customer Name, Address,State,Gender, Customer Status,Product, Quntity,Amount</t>
  </si>
  <si>
    <t>dineshwar paswan, Bsl Jhopari clony Gali No 2  Near Radha kirna Mandir, Jharkand, Male , Existing, Mobile, 2 ,3600</t>
  </si>
  <si>
    <t>POOJA SHATMA, Falt 3A Pitampura Near netaji Complex , Delhi, femal, New Customer, Printer, 3 , 16500</t>
  </si>
  <si>
    <t>ARJUN PATEL,  Satellite Road Near ISRO colony House 32, Gujrat, Male,  Existing ,  Laptop, 1 , 58000</t>
  </si>
  <si>
    <t>KABITA SINGH,  Salt lake Sector 5 Near City Center, West Bangal, Femal, Existing Customer, Moniter , 3 , 21500</t>
  </si>
  <si>
    <t>sanjay mehta,  Andheri Road Near Metro Station, Maharastra,  Male,  New,  Laptop,  1, 68000</t>
  </si>
  <si>
    <t>divya rao</t>
  </si>
  <si>
    <t xml:space="preserve"> Existing Customer</t>
  </si>
  <si>
    <t xml:space="preserve"> Delhi</t>
  </si>
  <si>
    <t xml:space="preserve"> Mobile</t>
  </si>
  <si>
    <t>Female</t>
  </si>
  <si>
    <t>Customer Name</t>
  </si>
  <si>
    <t xml:space="preserve"> Address</t>
  </si>
  <si>
    <t>State</t>
  </si>
  <si>
    <t>Gender</t>
  </si>
  <si>
    <t xml:space="preserve"> Customer Status</t>
  </si>
  <si>
    <t>Product</t>
  </si>
  <si>
    <t xml:space="preserve"> Quntity</t>
  </si>
  <si>
    <t>Amount</t>
  </si>
  <si>
    <t>PRIYA MEHTA</t>
  </si>
  <si>
    <t xml:space="preserve"> 18 Rohani Sector 7 Near Metro</t>
  </si>
  <si>
    <t>Delhi</t>
  </si>
  <si>
    <t xml:space="preserve"> Existing</t>
  </si>
  <si>
    <t xml:space="preserve"> Laptop</t>
  </si>
  <si>
    <t>RAHUL SHARMA</t>
  </si>
  <si>
    <t xml:space="preserve"> Gali No 4 Laxmi Nagar Near Mother Dairy</t>
  </si>
  <si>
    <t xml:space="preserve"> exiting</t>
  </si>
  <si>
    <t xml:space="preserve"> Printer</t>
  </si>
  <si>
    <t>AMIT KUMAR</t>
  </si>
  <si>
    <t xml:space="preserve"> Sector 62 Block B Near Electronice City Metro</t>
  </si>
  <si>
    <t xml:space="preserve"> Utter Pradesh </t>
  </si>
  <si>
    <t xml:space="preserve"> Exsiting</t>
  </si>
  <si>
    <t>neha  singh</t>
  </si>
  <si>
    <t xml:space="preserve"> Flat 204 indrapuram Shipra Mall Road</t>
  </si>
  <si>
    <t xml:space="preserve"> Utter Pradesh</t>
  </si>
  <si>
    <t xml:space="preserve"> New Customer </t>
  </si>
  <si>
    <t>rakesh verma</t>
  </si>
  <si>
    <t xml:space="preserve"> plot 18 DLF Phase 2 Near Cyber Hub</t>
  </si>
  <si>
    <t xml:space="preserve"> Hariyana</t>
  </si>
  <si>
    <t xml:space="preserve">  keyboard</t>
  </si>
  <si>
    <t xml:space="preserve">ANJALI GUPTA </t>
  </si>
  <si>
    <t xml:space="preserve"> 12 Vaisali Nager Ajmer Road Near Central park </t>
  </si>
  <si>
    <t xml:space="preserve"> Rajsthan</t>
  </si>
  <si>
    <t xml:space="preserve">Existing </t>
  </si>
  <si>
    <t>dineshwar paswan</t>
  </si>
  <si>
    <t xml:space="preserve"> Bsl Jhopari clony Gali No 2  Near Radha kirna Mandir</t>
  </si>
  <si>
    <t xml:space="preserve"> Jharkand</t>
  </si>
  <si>
    <t>POOJA SHATMA</t>
  </si>
  <si>
    <t xml:space="preserve"> Falt 3A Pitampura Near netaji Complex </t>
  </si>
  <si>
    <t xml:space="preserve"> New Customer</t>
  </si>
  <si>
    <t>ARJUN PATEL</t>
  </si>
  <si>
    <t xml:space="preserve">  Satellite Road Near ISRO colony House 32</t>
  </si>
  <si>
    <t xml:space="preserve"> Gujrat</t>
  </si>
  <si>
    <t xml:space="preserve">  Existing </t>
  </si>
  <si>
    <t xml:space="preserve">  Laptop</t>
  </si>
  <si>
    <t>KABITA SINGH</t>
  </si>
  <si>
    <t xml:space="preserve">  Salt lake Sector 5 Near City Center</t>
  </si>
  <si>
    <t xml:space="preserve"> West Bangal</t>
  </si>
  <si>
    <t xml:space="preserve"> Moniter </t>
  </si>
  <si>
    <t>sanjay mehta</t>
  </si>
  <si>
    <t xml:space="preserve">  Andheri Road Near Metro Station</t>
  </si>
  <si>
    <t xml:space="preserve"> Maharastra</t>
  </si>
  <si>
    <t xml:space="preserve"> Steat Food Colony Sector 8 Bokaro</t>
  </si>
  <si>
    <t>Jharkhand</t>
  </si>
  <si>
    <t>New Customer</t>
  </si>
  <si>
    <t>Mobile</t>
  </si>
  <si>
    <t>Mause</t>
  </si>
  <si>
    <t xml:space="preserve">  New Customer</t>
  </si>
  <si>
    <t>Male</t>
  </si>
  <si>
    <t>Femal</t>
  </si>
  <si>
    <t>femal</t>
  </si>
  <si>
    <t xml:space="preserve">Male </t>
  </si>
  <si>
    <t xml:space="preserve">Female </t>
  </si>
  <si>
    <t>State2</t>
  </si>
  <si>
    <t xml:space="preserve"> Customer Status3</t>
  </si>
  <si>
    <t>Product4</t>
  </si>
  <si>
    <t>Customer Name2</t>
  </si>
  <si>
    <t xml:space="preserve"> Address3</t>
  </si>
</sst>
</file>

<file path=xl/styles.xml><?xml version="1.0" encoding="utf-8"?>
<styleSheet xmlns="http://schemas.openxmlformats.org/spreadsheetml/2006/main">
  <numFmts count="1">
    <numFmt numFmtId="164" formatCode="#,##0.00_-[$₹-44D]"/>
  </numFmts>
  <fonts count="2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fill>
        <patternFill patternType="solid">
          <fgColor indexed="64"/>
          <bgColor theme="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#,##0.00_-[$₹-44D]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E1:M13" totalsRowShown="0" headerRowDxfId="12" dataDxfId="11">
  <autoFilter ref="E1:M13"/>
  <tableColumns count="9">
    <tableColumn id="1" name="State" dataDxfId="10"/>
    <tableColumn id="2" name="State2" dataDxfId="9">
      <calculatedColumnFormula>TRIM(E2)</calculatedColumnFormula>
    </tableColumn>
    <tableColumn id="3" name="Gender" dataDxfId="8"/>
    <tableColumn id="4" name=" Customer Status" dataDxfId="7"/>
    <tableColumn id="5" name=" Customer Status3" dataDxfId="6">
      <calculatedColumnFormula>PROPER(TRIM(H2))</calculatedColumnFormula>
    </tableColumn>
    <tableColumn id="6" name="Product" dataDxfId="5"/>
    <tableColumn id="7" name="Product4" dataDxfId="4">
      <calculatedColumnFormula>PROPER(TRIM(J2))</calculatedColumnFormula>
    </tableColumn>
    <tableColumn id="8" name=" Quntity" dataDxfId="3"/>
    <tableColumn id="9" name="Amount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3" totalsRowShown="0" headerRowDxfId="0">
  <autoFilter ref="A1:D13"/>
  <tableColumns count="4">
    <tableColumn id="1" name="Customer Name" dataDxfId="1"/>
    <tableColumn id="2" name="Customer Name2">
      <calculatedColumnFormula>PROPER(TRIM(A2))</calculatedColumnFormula>
    </tableColumn>
    <tableColumn id="3" name=" Address"/>
    <tableColumn id="4" name=" Address3">
      <calculatedColumnFormula>LOWER(TRIM(C2))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selection activeCell="E16" sqref="A1:XFD1048576"/>
    </sheetView>
  </sheetViews>
  <sheetFormatPr defaultRowHeight="15"/>
  <cols>
    <col min="1" max="1" width="26.42578125" customWidth="1"/>
    <col min="2" max="2" width="28.140625" customWidth="1"/>
    <col min="3" max="4" width="48.140625" bestFit="1" customWidth="1"/>
    <col min="5" max="5" width="14.140625" bestFit="1" customWidth="1"/>
    <col min="6" max="6" width="14.140625" customWidth="1"/>
    <col min="7" max="7" width="13.5703125" customWidth="1"/>
    <col min="8" max="8" width="26.85546875" customWidth="1"/>
    <col min="9" max="9" width="28.5703125" customWidth="1"/>
    <col min="10" max="10" width="14.140625" customWidth="1"/>
    <col min="11" max="11" width="15.85546875" customWidth="1"/>
    <col min="12" max="13" width="14.5703125" customWidth="1"/>
  </cols>
  <sheetData>
    <row r="1" spans="1:13" ht="23.25">
      <c r="A1" s="1" t="s">
        <v>17</v>
      </c>
      <c r="B1" s="1" t="s">
        <v>82</v>
      </c>
      <c r="C1" s="1" t="s">
        <v>18</v>
      </c>
      <c r="D1" s="1" t="s">
        <v>83</v>
      </c>
      <c r="E1" s="3" t="s">
        <v>19</v>
      </c>
      <c r="F1" s="3" t="s">
        <v>79</v>
      </c>
      <c r="G1" s="3" t="s">
        <v>20</v>
      </c>
      <c r="H1" s="3" t="s">
        <v>21</v>
      </c>
      <c r="I1" s="3" t="s">
        <v>80</v>
      </c>
      <c r="J1" s="3" t="s">
        <v>22</v>
      </c>
      <c r="K1" s="3" t="s">
        <v>81</v>
      </c>
      <c r="L1" s="3" t="s">
        <v>23</v>
      </c>
      <c r="M1" s="3" t="s">
        <v>24</v>
      </c>
    </row>
    <row r="2" spans="1:13">
      <c r="A2" s="2" t="s">
        <v>25</v>
      </c>
      <c r="B2" t="str">
        <f>PROPER(TRIM(A2))</f>
        <v>Priya Mehta</v>
      </c>
      <c r="C2" t="s">
        <v>26</v>
      </c>
      <c r="D2" t="str">
        <f>LOWER(TRIM(C2))</f>
        <v>18 rohani sector 7 near metro</v>
      </c>
      <c r="E2" s="4" t="s">
        <v>27</v>
      </c>
      <c r="F2" s="4" t="str">
        <f>TRIM(E2)</f>
        <v>Delhi</v>
      </c>
      <c r="G2" s="4" t="s">
        <v>16</v>
      </c>
      <c r="H2" s="4" t="s">
        <v>28</v>
      </c>
      <c r="I2" s="4" t="str">
        <f>PROPER(TRIM(H2))</f>
        <v>Existing</v>
      </c>
      <c r="J2" s="4" t="s">
        <v>29</v>
      </c>
      <c r="K2" s="4" t="str">
        <f>PROPER(TRIM(J2))</f>
        <v>Laptop</v>
      </c>
      <c r="L2" s="4">
        <v>2</v>
      </c>
      <c r="M2" s="5">
        <v>5500</v>
      </c>
    </row>
    <row r="3" spans="1:13">
      <c r="A3" s="2" t="s">
        <v>12</v>
      </c>
      <c r="B3" t="str">
        <f t="shared" ref="B3:B13" si="0">PROPER(TRIM(A3))</f>
        <v>Divya Rao</v>
      </c>
      <c r="C3" t="s">
        <v>68</v>
      </c>
      <c r="D3" t="str">
        <f t="shared" ref="D3:D13" si="1">LOWER(TRIM(C3))</f>
        <v>steat food colony sector 8 bokaro</v>
      </c>
      <c r="E3" s="4" t="s">
        <v>69</v>
      </c>
      <c r="F3" s="4" t="str">
        <f t="shared" ref="F3:F13" si="2">TRIM(E3)</f>
        <v>Jharkhand</v>
      </c>
      <c r="G3" s="4" t="s">
        <v>16</v>
      </c>
      <c r="H3" s="4" t="s">
        <v>70</v>
      </c>
      <c r="I3" s="4" t="str">
        <f t="shared" ref="I3:I13" si="3">PROPER(TRIM(H3))</f>
        <v>New Customer</v>
      </c>
      <c r="J3" s="4" t="s">
        <v>71</v>
      </c>
      <c r="K3" s="4" t="str">
        <f t="shared" ref="K3:K13" si="4">PROPER(TRIM(J3))</f>
        <v>Mobile</v>
      </c>
      <c r="L3" s="4">
        <v>5</v>
      </c>
      <c r="M3" s="5">
        <v>85000</v>
      </c>
    </row>
    <row r="4" spans="1:13">
      <c r="A4" s="2" t="s">
        <v>30</v>
      </c>
      <c r="B4" t="str">
        <f t="shared" si="0"/>
        <v>Rahul Sharma</v>
      </c>
      <c r="C4" t="s">
        <v>31</v>
      </c>
      <c r="D4" t="str">
        <f t="shared" si="1"/>
        <v>gali no 4 laxmi nagar near mother dairy</v>
      </c>
      <c r="E4" s="4" t="s">
        <v>14</v>
      </c>
      <c r="F4" s="4" t="str">
        <f t="shared" si="2"/>
        <v>Delhi</v>
      </c>
      <c r="G4" s="4" t="s">
        <v>74</v>
      </c>
      <c r="H4" s="4" t="s">
        <v>32</v>
      </c>
      <c r="I4" s="4" t="str">
        <f t="shared" si="3"/>
        <v>Exiting</v>
      </c>
      <c r="J4" s="4" t="s">
        <v>33</v>
      </c>
      <c r="K4" s="4" t="str">
        <f t="shared" si="4"/>
        <v>Printer</v>
      </c>
      <c r="L4" s="4">
        <v>3</v>
      </c>
      <c r="M4" s="5">
        <v>18500</v>
      </c>
    </row>
    <row r="5" spans="1:13">
      <c r="A5" s="2" t="s">
        <v>34</v>
      </c>
      <c r="B5" t="str">
        <f t="shared" si="0"/>
        <v>Amit Kumar</v>
      </c>
      <c r="C5" t="s">
        <v>35</v>
      </c>
      <c r="D5" t="str">
        <f t="shared" si="1"/>
        <v>sector 62 block b near electronice city metro</v>
      </c>
      <c r="E5" s="4" t="s">
        <v>36</v>
      </c>
      <c r="F5" s="4" t="str">
        <f t="shared" si="2"/>
        <v>Utter Pradesh</v>
      </c>
      <c r="G5" s="4" t="s">
        <v>74</v>
      </c>
      <c r="H5" s="4" t="s">
        <v>37</v>
      </c>
      <c r="I5" s="4" t="str">
        <f t="shared" si="3"/>
        <v>Exsiting</v>
      </c>
      <c r="J5" s="4" t="s">
        <v>72</v>
      </c>
      <c r="K5" s="4" t="str">
        <f t="shared" si="4"/>
        <v>Mause</v>
      </c>
      <c r="L5" s="4">
        <v>2</v>
      </c>
      <c r="M5" s="5">
        <v>1500</v>
      </c>
    </row>
    <row r="6" spans="1:13">
      <c r="A6" s="2" t="s">
        <v>38</v>
      </c>
      <c r="B6" t="str">
        <f t="shared" si="0"/>
        <v>Neha Singh</v>
      </c>
      <c r="C6" t="s">
        <v>39</v>
      </c>
      <c r="D6" t="str">
        <f t="shared" si="1"/>
        <v>flat 204 indrapuram shipra mall road</v>
      </c>
      <c r="E6" s="4" t="s">
        <v>40</v>
      </c>
      <c r="F6" s="4" t="str">
        <f t="shared" si="2"/>
        <v>Utter Pradesh</v>
      </c>
      <c r="G6" s="4" t="s">
        <v>78</v>
      </c>
      <c r="H6" s="4" t="s">
        <v>41</v>
      </c>
      <c r="I6" s="4" t="str">
        <f t="shared" si="3"/>
        <v>New Customer</v>
      </c>
      <c r="J6" s="4" t="s">
        <v>29</v>
      </c>
      <c r="K6" s="4" t="str">
        <f t="shared" si="4"/>
        <v>Laptop</v>
      </c>
      <c r="L6" s="4">
        <v>1</v>
      </c>
      <c r="M6" s="5">
        <v>62000</v>
      </c>
    </row>
    <row r="7" spans="1:13">
      <c r="A7" s="2" t="s">
        <v>42</v>
      </c>
      <c r="B7" t="str">
        <f t="shared" si="0"/>
        <v>Rakesh Verma</v>
      </c>
      <c r="C7" t="s">
        <v>43</v>
      </c>
      <c r="D7" t="str">
        <f t="shared" si="1"/>
        <v>plot 18 dlf phase 2 near cyber hub</v>
      </c>
      <c r="E7" s="4" t="s">
        <v>44</v>
      </c>
      <c r="F7" s="4" t="str">
        <f t="shared" si="2"/>
        <v>Hariyana</v>
      </c>
      <c r="G7" s="4" t="s">
        <v>74</v>
      </c>
      <c r="H7" s="4" t="s">
        <v>13</v>
      </c>
      <c r="I7" s="4" t="str">
        <f t="shared" si="3"/>
        <v>Existing Customer</v>
      </c>
      <c r="J7" s="4" t="s">
        <v>45</v>
      </c>
      <c r="K7" s="4" t="str">
        <f t="shared" si="4"/>
        <v>Keyboard</v>
      </c>
      <c r="L7" s="4">
        <v>4</v>
      </c>
      <c r="M7" s="5">
        <v>45000</v>
      </c>
    </row>
    <row r="8" spans="1:13">
      <c r="A8" s="2" t="s">
        <v>46</v>
      </c>
      <c r="B8" t="str">
        <f t="shared" si="0"/>
        <v>Anjali Gupta</v>
      </c>
      <c r="C8" t="s">
        <v>47</v>
      </c>
      <c r="D8" t="str">
        <f t="shared" si="1"/>
        <v>12 vaisali nager ajmer road near central park</v>
      </c>
      <c r="E8" s="4" t="s">
        <v>48</v>
      </c>
      <c r="F8" s="4" t="str">
        <f t="shared" si="2"/>
        <v>Rajsthan</v>
      </c>
      <c r="G8" s="4" t="s">
        <v>78</v>
      </c>
      <c r="H8" s="4" t="s">
        <v>49</v>
      </c>
      <c r="I8" s="4" t="str">
        <f t="shared" si="3"/>
        <v>Existing</v>
      </c>
      <c r="J8" s="4" t="s">
        <v>15</v>
      </c>
      <c r="K8" s="4" t="str">
        <f t="shared" si="4"/>
        <v>Mobile</v>
      </c>
      <c r="L8" s="4">
        <v>2</v>
      </c>
      <c r="M8" s="5">
        <v>28500</v>
      </c>
    </row>
    <row r="9" spans="1:13">
      <c r="A9" s="2" t="s">
        <v>50</v>
      </c>
      <c r="B9" t="str">
        <f t="shared" si="0"/>
        <v>Dineshwar Paswan</v>
      </c>
      <c r="C9" t="s">
        <v>51</v>
      </c>
      <c r="D9" t="str">
        <f t="shared" si="1"/>
        <v>bsl jhopari clony gali no 2 near radha kirna mandir</v>
      </c>
      <c r="E9" s="4" t="s">
        <v>52</v>
      </c>
      <c r="F9" s="4" t="str">
        <f t="shared" si="2"/>
        <v>Jharkand</v>
      </c>
      <c r="G9" s="4" t="s">
        <v>77</v>
      </c>
      <c r="H9" s="4" t="s">
        <v>28</v>
      </c>
      <c r="I9" s="4" t="str">
        <f t="shared" si="3"/>
        <v>Existing</v>
      </c>
      <c r="J9" s="4" t="s">
        <v>15</v>
      </c>
      <c r="K9" s="4" t="str">
        <f t="shared" si="4"/>
        <v>Mobile</v>
      </c>
      <c r="L9" s="4">
        <v>2</v>
      </c>
      <c r="M9" s="5">
        <v>3600</v>
      </c>
    </row>
    <row r="10" spans="1:13">
      <c r="A10" s="2" t="s">
        <v>53</v>
      </c>
      <c r="B10" t="str">
        <f t="shared" si="0"/>
        <v>Pooja Shatma</v>
      </c>
      <c r="C10" t="s">
        <v>54</v>
      </c>
      <c r="D10" t="str">
        <f t="shared" si="1"/>
        <v>falt 3a pitampura near netaji complex</v>
      </c>
      <c r="E10" s="4" t="s">
        <v>14</v>
      </c>
      <c r="F10" s="4" t="str">
        <f t="shared" si="2"/>
        <v>Delhi</v>
      </c>
      <c r="G10" s="4" t="s">
        <v>76</v>
      </c>
      <c r="H10" s="4" t="s">
        <v>55</v>
      </c>
      <c r="I10" s="4" t="str">
        <f t="shared" si="3"/>
        <v>New Customer</v>
      </c>
      <c r="J10" s="4" t="s">
        <v>33</v>
      </c>
      <c r="K10" s="4" t="str">
        <f t="shared" si="4"/>
        <v>Printer</v>
      </c>
      <c r="L10" s="4">
        <v>3</v>
      </c>
      <c r="M10" s="5">
        <v>16500</v>
      </c>
    </row>
    <row r="11" spans="1:13">
      <c r="A11" s="2" t="s">
        <v>56</v>
      </c>
      <c r="B11" t="str">
        <f t="shared" si="0"/>
        <v>Arjun Patel</v>
      </c>
      <c r="C11" t="s">
        <v>57</v>
      </c>
      <c r="D11" t="str">
        <f t="shared" si="1"/>
        <v>satellite road near isro colony house 32</v>
      </c>
      <c r="E11" s="4" t="s">
        <v>58</v>
      </c>
      <c r="F11" s="4" t="str">
        <f t="shared" si="2"/>
        <v>Gujrat</v>
      </c>
      <c r="G11" s="4" t="s">
        <v>74</v>
      </c>
      <c r="H11" s="4" t="s">
        <v>59</v>
      </c>
      <c r="I11" s="4" t="str">
        <f t="shared" si="3"/>
        <v>Existing</v>
      </c>
      <c r="J11" s="4" t="s">
        <v>60</v>
      </c>
      <c r="K11" s="4" t="str">
        <f t="shared" si="4"/>
        <v>Laptop</v>
      </c>
      <c r="L11" s="4">
        <v>1</v>
      </c>
      <c r="M11" s="5">
        <v>58000</v>
      </c>
    </row>
    <row r="12" spans="1:13">
      <c r="A12" s="2" t="s">
        <v>61</v>
      </c>
      <c r="B12" t="str">
        <f t="shared" si="0"/>
        <v>Kabita Singh</v>
      </c>
      <c r="C12" t="s">
        <v>62</v>
      </c>
      <c r="D12" t="str">
        <f t="shared" si="1"/>
        <v>salt lake sector 5 near city center</v>
      </c>
      <c r="E12" s="4" t="s">
        <v>63</v>
      </c>
      <c r="F12" s="4" t="str">
        <f t="shared" si="2"/>
        <v>West Bangal</v>
      </c>
      <c r="G12" s="4" t="s">
        <v>75</v>
      </c>
      <c r="H12" s="4" t="s">
        <v>13</v>
      </c>
      <c r="I12" s="4" t="str">
        <f t="shared" si="3"/>
        <v>Existing Customer</v>
      </c>
      <c r="J12" s="4" t="s">
        <v>64</v>
      </c>
      <c r="K12" s="4" t="str">
        <f t="shared" si="4"/>
        <v>Moniter</v>
      </c>
      <c r="L12" s="4">
        <v>3</v>
      </c>
      <c r="M12" s="5">
        <v>21500</v>
      </c>
    </row>
    <row r="13" spans="1:13">
      <c r="A13" s="2" t="s">
        <v>65</v>
      </c>
      <c r="B13" t="str">
        <f t="shared" si="0"/>
        <v>Sanjay Mehta</v>
      </c>
      <c r="C13" t="s">
        <v>66</v>
      </c>
      <c r="D13" t="str">
        <f t="shared" si="1"/>
        <v>andheri road near metro station</v>
      </c>
      <c r="E13" s="4" t="s">
        <v>67</v>
      </c>
      <c r="F13" s="4" t="str">
        <f t="shared" si="2"/>
        <v>Maharastra</v>
      </c>
      <c r="G13" s="4" t="s">
        <v>74</v>
      </c>
      <c r="H13" s="4" t="s">
        <v>73</v>
      </c>
      <c r="I13" s="4" t="str">
        <f t="shared" si="3"/>
        <v>New Customer</v>
      </c>
      <c r="J13" s="4" t="s">
        <v>60</v>
      </c>
      <c r="K13" s="4" t="str">
        <f t="shared" si="4"/>
        <v>Laptop</v>
      </c>
      <c r="L13" s="4">
        <v>1</v>
      </c>
      <c r="M13" s="5">
        <v>68000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selection sqref="A1:A17"/>
    </sheetView>
  </sheetViews>
  <sheetFormatPr defaultRowHeight="15"/>
  <cols>
    <col min="1" max="1" width="103.85546875" bestFit="1" customWidth="1"/>
  </cols>
  <sheetData>
    <row r="1" spans="1:1">
      <c r="A1" t="s">
        <v>6</v>
      </c>
    </row>
    <row r="2" spans="1:1">
      <c r="A2" t="s">
        <v>0</v>
      </c>
    </row>
    <row r="3" spans="1:1">
      <c r="A3" t="s">
        <v>12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1</v>
      </c>
    </row>
    <row r="8" spans="1:1">
      <c r="A8" t="s">
        <v>4</v>
      </c>
    </row>
    <row r="9" spans="1:1">
      <c r="A9" t="s">
        <v>5</v>
      </c>
    </row>
    <row r="10" spans="1:1">
      <c r="A10" t="s">
        <v>0</v>
      </c>
    </row>
    <row r="11" spans="1:1">
      <c r="A11" t="s">
        <v>12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2026-09-17T20:01:36Z</dcterms:created>
  <dcterms:modified xsi:type="dcterms:W3CDTF">2026-09-17T19:37:59Z</dcterms:modified>
</cp:coreProperties>
</file>