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 projects\"/>
    </mc:Choice>
  </mc:AlternateContent>
  <xr:revisionPtr revIDLastSave="0" documentId="13_ncr:1_{E6A762D5-4CFD-4407-9732-C114A0DEA23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etail1" sheetId="5" r:id="rId1"/>
    <sheet name="Sheet4" sheetId="4" r:id="rId2"/>
    <sheet name="Sheet1" sheetId="1" r:id="rId3"/>
    <sheet name="Sheet2" sheetId="2" r:id="rId4"/>
    <sheet name="Sheet3" sheetId="3" r:id="rId5"/>
  </sheets>
  <calcPr calcId="191029"/>
  <pivotCaches>
    <pivotCache cacheId="7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2" l="1"/>
  <c r="E6" i="2"/>
  <c r="E7" i="2"/>
  <c r="E8" i="2"/>
  <c r="E9" i="2"/>
  <c r="E10" i="2"/>
  <c r="E11" i="2"/>
  <c r="E12" i="2"/>
  <c r="E4" i="2"/>
  <c r="E13" i="2" s="1"/>
  <c r="E14" i="2" l="1"/>
  <c r="E15" i="2"/>
  <c r="E16" i="2" l="1"/>
  <c r="E17" i="2"/>
</calcChain>
</file>

<file path=xl/sharedStrings.xml><?xml version="1.0" encoding="utf-8"?>
<sst xmlns="http://schemas.openxmlformats.org/spreadsheetml/2006/main" count="195" uniqueCount="122">
  <si>
    <t>JOB_ID</t>
  </si>
  <si>
    <t>GENDER</t>
  </si>
  <si>
    <t>JOB CITY</t>
  </si>
  <si>
    <t>EMPLOYE NAME</t>
  </si>
  <si>
    <t>DATE OF JON</t>
  </si>
  <si>
    <t>RETIRMENT DATE</t>
  </si>
  <si>
    <t>DINESHWAR PASWAN</t>
  </si>
  <si>
    <t>IT SECTOR</t>
  </si>
  <si>
    <t>MALE</t>
  </si>
  <si>
    <t>15/M/2026</t>
  </si>
  <si>
    <t>BOKARO</t>
  </si>
  <si>
    <t>B011</t>
  </si>
  <si>
    <t>R012</t>
  </si>
  <si>
    <t>MUKESH KMAR RAJAK</t>
  </si>
  <si>
    <t>RAILWAY</t>
  </si>
  <si>
    <t>RANCHI</t>
  </si>
  <si>
    <t>05/AGU/2045</t>
  </si>
  <si>
    <t>D012</t>
  </si>
  <si>
    <t>RAVENDER MAHTO</t>
  </si>
  <si>
    <t>DEFENCE</t>
  </si>
  <si>
    <t>JAMU KASHMIR</t>
  </si>
  <si>
    <t>SOFWARE ENG</t>
  </si>
  <si>
    <t>JUNIOR ENG</t>
  </si>
  <si>
    <t>LEFTINANT CORNAL</t>
  </si>
  <si>
    <t>DEPATMENS</t>
  </si>
  <si>
    <t>TE012</t>
  </si>
  <si>
    <t>MONIKA SINGH</t>
  </si>
  <si>
    <t>TECHING</t>
  </si>
  <si>
    <t>PATNA</t>
  </si>
  <si>
    <t>ASSISTANT PROFESER</t>
  </si>
  <si>
    <t>FAMALE</t>
  </si>
  <si>
    <t>SIMA KUMARI PASWAN</t>
  </si>
  <si>
    <t>HEALTH</t>
  </si>
  <si>
    <t>DHANBAD</t>
  </si>
  <si>
    <t>SENIOR DOCTOR</t>
  </si>
  <si>
    <t>BK012</t>
  </si>
  <si>
    <t>PREM PASWAN</t>
  </si>
  <si>
    <t>BANKING</t>
  </si>
  <si>
    <t>GAYA JI</t>
  </si>
  <si>
    <t>CHEF MANAGER</t>
  </si>
  <si>
    <t>DIGNATIONS</t>
  </si>
  <si>
    <t>JOB NATURS</t>
  </si>
  <si>
    <t>FUL TMLE</t>
  </si>
  <si>
    <t>GOVE/PRIVATE</t>
  </si>
  <si>
    <t>PRIVATE</t>
  </si>
  <si>
    <t>CENRAL GOVERNT</t>
  </si>
  <si>
    <t>STATE GOVERMANT</t>
  </si>
  <si>
    <t>CENTRAL GOVERNMENT</t>
  </si>
  <si>
    <t>STATE NAME</t>
  </si>
  <si>
    <t>JHARKHAND</t>
  </si>
  <si>
    <t>JAMU KAMIR</t>
  </si>
  <si>
    <t>BIHAR</t>
  </si>
  <si>
    <t>C012</t>
  </si>
  <si>
    <t>SNEHLAT PANDIT</t>
  </si>
  <si>
    <t>CORPORATE</t>
  </si>
  <si>
    <t>KOLKATA</t>
  </si>
  <si>
    <t>13/AG/2054</t>
  </si>
  <si>
    <t xml:space="preserve"> JONAL MANAGER</t>
  </si>
  <si>
    <t>PART TIME</t>
  </si>
  <si>
    <t>WEST BANGAL</t>
  </si>
  <si>
    <t>IT012</t>
  </si>
  <si>
    <t>NEHA KMARI</t>
  </si>
  <si>
    <t xml:space="preserve"> IT SECTOR</t>
  </si>
  <si>
    <t>HYDRABAD</t>
  </si>
  <si>
    <t>SEO ENG</t>
  </si>
  <si>
    <t>ANDHRA PRADESH</t>
  </si>
  <si>
    <t>MOBILE N.</t>
  </si>
  <si>
    <t>EMPLOYEE MEMBERS</t>
  </si>
  <si>
    <t>PRODUCT NAME</t>
  </si>
  <si>
    <t>PRICE</t>
  </si>
  <si>
    <t>QUINTIES</t>
  </si>
  <si>
    <t>BOKING DATE</t>
  </si>
  <si>
    <t>CUSTOMER NAME</t>
  </si>
  <si>
    <t>CITY NAME</t>
  </si>
  <si>
    <t xml:space="preserve">GLOBAL MARKETS PRIVATE LIMITED </t>
  </si>
  <si>
    <t>BILL INVOICE</t>
  </si>
  <si>
    <t>DELL</t>
  </si>
  <si>
    <t>RANACH</t>
  </si>
  <si>
    <t>PY001</t>
  </si>
  <si>
    <t xml:space="preserve"> SONY TV</t>
  </si>
  <si>
    <t>25/MY/2026</t>
  </si>
  <si>
    <t>SASARAM</t>
  </si>
  <si>
    <t>MB001</t>
  </si>
  <si>
    <t>SAMSANG MOBILE</t>
  </si>
  <si>
    <t>DEEPK SING</t>
  </si>
  <si>
    <t>RADHIKA PASWAN</t>
  </si>
  <si>
    <t>MANOJ AGERWAL</t>
  </si>
  <si>
    <t>FR001</t>
  </si>
  <si>
    <t>DUBL DOR ALG FIRICE</t>
  </si>
  <si>
    <t>RAJESH MISRA</t>
  </si>
  <si>
    <t>PATAN</t>
  </si>
  <si>
    <t>PRO ID</t>
  </si>
  <si>
    <t>CO022</t>
  </si>
  <si>
    <t>COLER</t>
  </si>
  <si>
    <t>BKARO</t>
  </si>
  <si>
    <t>DEL01</t>
  </si>
  <si>
    <t>SETO01</t>
  </si>
  <si>
    <t>SETOP BOX</t>
  </si>
  <si>
    <t>MINACHI SONI</t>
  </si>
  <si>
    <t>TATA</t>
  </si>
  <si>
    <t>SM011</t>
  </si>
  <si>
    <t>SMART TV</t>
  </si>
  <si>
    <t>SAPNA JASWAL</t>
  </si>
  <si>
    <t>AD01</t>
  </si>
  <si>
    <t>MOBILE CHAGER</t>
  </si>
  <si>
    <t>KIRISH MANDEL</t>
  </si>
  <si>
    <t>BHOPLA</t>
  </si>
  <si>
    <t>NT012</t>
  </si>
  <si>
    <t>NOTHINK MOBILE</t>
  </si>
  <si>
    <t>RANJAYE PERSAD</t>
  </si>
  <si>
    <t>AMOUNT</t>
  </si>
  <si>
    <t>TOTAL AMOUNT</t>
  </si>
  <si>
    <t xml:space="preserve">DISCOUNT OF 10% </t>
  </si>
  <si>
    <t>GROSS TOTAL</t>
  </si>
  <si>
    <t>GST OF 18%</t>
  </si>
  <si>
    <t>TOTAL PAID AMOUNT</t>
  </si>
  <si>
    <t>SALLARY</t>
  </si>
  <si>
    <t>Row Labels</t>
  </si>
  <si>
    <t>Grand Total</t>
  </si>
  <si>
    <t>Sum of SALLARY</t>
  </si>
  <si>
    <t>(All)</t>
  </si>
  <si>
    <t>Details for Sum of SALLARY - DIGNATIONS: ASSISTANT PROFESER, STATE NAME: ANDHRA PRADESH (+)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</si>
</sst>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Bauhaus 93"/>
      <family val="5"/>
    </font>
    <font>
      <sz val="22"/>
      <color theme="1"/>
      <name val="Bauhaus 93"/>
      <family val="5"/>
    </font>
    <font>
      <sz val="14"/>
      <color theme="1"/>
      <name val="Calibri"/>
      <family val="2"/>
      <scheme val="minor"/>
    </font>
    <font>
      <b/>
      <sz val="16"/>
      <color theme="1"/>
      <name val="Arabic Typesetting"/>
      <family val="4"/>
    </font>
    <font>
      <sz val="14"/>
      <color theme="1"/>
      <name val="Baskerville Old Face"/>
      <family val="1"/>
    </font>
    <font>
      <sz val="24"/>
      <color theme="1"/>
      <name val="Bauhaus 93"/>
      <family val="5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0" fontId="4" fillId="0" borderId="0" xfId="0" applyFont="1"/>
    <xf numFmtId="0" fontId="5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8" fillId="0" borderId="1" xfId="0" applyNumberFormat="1" applyFont="1" applyBorder="1" applyAlignment="1">
      <alignment horizontal="center"/>
    </xf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6" fillId="7" borderId="1" xfId="0" applyFont="1" applyFill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164" fontId="1" fillId="3" borderId="8" xfId="0" applyNumberFormat="1" applyFont="1" applyFill="1" applyBorder="1" applyAlignment="1">
      <alignment horizontal="center"/>
    </xf>
    <xf numFmtId="15" fontId="1" fillId="3" borderId="8" xfId="0" applyNumberFormat="1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7" fillId="5" borderId="0" xfId="0" applyFont="1" applyFill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8" fillId="0" borderId="0" xfId="0" applyFon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9"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0" formatCode="dd/mmm/yy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0" formatCode="dd/mmm/yy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₹&quot;\ #,##0.00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abic Typesetting"/>
        <family val="4"/>
        <scheme val="none"/>
      </font>
      <fill>
        <patternFill patternType="solid">
          <fgColor indexed="64"/>
          <bgColor theme="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[billing_system.xlsx]Sheet4!PivotTable1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pPr>
            <a:solidFill>
              <a:schemeClr val="accent1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Sheet4!$B$4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Sheet4!$A$5:$A$21</c:f>
              <c:multiLvlStrCache>
                <c:ptCount val="8"/>
                <c:lvl>
                  <c:pt idx="0">
                    <c:v>HYDRABAD</c:v>
                  </c:pt>
                  <c:pt idx="1">
                    <c:v>GAYA JI</c:v>
                  </c:pt>
                  <c:pt idx="2">
                    <c:v>KOLKATA</c:v>
                  </c:pt>
                  <c:pt idx="3">
                    <c:v>JAMU KASHMIR</c:v>
                  </c:pt>
                  <c:pt idx="4">
                    <c:v>DHANBAD</c:v>
                  </c:pt>
                  <c:pt idx="5">
                    <c:v>BOKARO</c:v>
                  </c:pt>
                  <c:pt idx="6">
                    <c:v>RANCHI</c:v>
                  </c:pt>
                  <c:pt idx="7">
                    <c:v>PATNA</c:v>
                  </c:pt>
                </c:lvl>
                <c:lvl>
                  <c:pt idx="0">
                    <c:v> IT SECTOR</c:v>
                  </c:pt>
                  <c:pt idx="1">
                    <c:v>BANKING</c:v>
                  </c:pt>
                  <c:pt idx="2">
                    <c:v>CORPORATE</c:v>
                  </c:pt>
                  <c:pt idx="3">
                    <c:v>DEFENCE</c:v>
                  </c:pt>
                  <c:pt idx="4">
                    <c:v>HEALTH</c:v>
                  </c:pt>
                  <c:pt idx="5">
                    <c:v>IT SECTOR</c:v>
                  </c:pt>
                  <c:pt idx="6">
                    <c:v>RAILWAY</c:v>
                  </c:pt>
                  <c:pt idx="7">
                    <c:v>TECHING</c:v>
                  </c:pt>
                </c:lvl>
              </c:multiLvlStrCache>
            </c:multiLvlStrRef>
          </c:cat>
          <c:val>
            <c:numRef>
              <c:f>Sheet4!$B$5:$B$21</c:f>
              <c:numCache>
                <c:formatCode>"₹"\ #,##0.00</c:formatCode>
                <c:ptCount val="8"/>
                <c:pt idx="0">
                  <c:v>95000</c:v>
                </c:pt>
                <c:pt idx="1">
                  <c:v>75000</c:v>
                </c:pt>
                <c:pt idx="2">
                  <c:v>105000</c:v>
                </c:pt>
                <c:pt idx="3">
                  <c:v>62000</c:v>
                </c:pt>
                <c:pt idx="4">
                  <c:v>78000</c:v>
                </c:pt>
                <c:pt idx="5">
                  <c:v>57000</c:v>
                </c:pt>
                <c:pt idx="6">
                  <c:v>45000</c:v>
                </c:pt>
                <c:pt idx="7">
                  <c:v>50500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0A5-40C7-AA57-55982DFBE68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</xdr:colOff>
      <xdr:row>1</xdr:row>
      <xdr:rowOff>28575</xdr:rowOff>
    </xdr:from>
    <xdr:to>
      <xdr:col>10</xdr:col>
      <xdr:colOff>114300</xdr:colOff>
      <xdr:row>26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240374-04B3-6228-EA16-393745B0BB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llo" refreshedDate="46293.413758333336" createdVersion="7" refreshedVersion="8" minRefreshableVersion="3" recordCount="8" xr:uid="{83E28DE4-F128-479B-AEF2-FCEB55DA55B3}">
  <cacheSource type="worksheet">
    <worksheetSource ref="A2:M10" sheet="Sheet1"/>
  </cacheSource>
  <cacheFields count="13">
    <cacheField name="JOB_ID" numFmtId="0">
      <sharedItems/>
    </cacheField>
    <cacheField name="EMPLOYE NAME" numFmtId="0">
      <sharedItems/>
    </cacheField>
    <cacheField name="DEPATMENS" numFmtId="0">
      <sharedItems count="8">
        <s v="IT SECTOR"/>
        <s v="RAILWAY"/>
        <s v="DEFENCE"/>
        <s v="TECHING"/>
        <s v="HEALTH"/>
        <s v="BANKING"/>
        <s v=" IT SECTOR"/>
        <s v="CORPORATE"/>
      </sharedItems>
    </cacheField>
    <cacheField name="GENDER" numFmtId="0">
      <sharedItems/>
    </cacheField>
    <cacheField name="JOB CITY" numFmtId="0">
      <sharedItems count="8">
        <s v="BOKARO"/>
        <s v="RANCHI"/>
        <s v="JAMU KASHMIR"/>
        <s v="PATNA"/>
        <s v="DHANBAD"/>
        <s v="GAYA JI"/>
        <s v="HYDRABAD"/>
        <s v="KOLKATA"/>
      </sharedItems>
    </cacheField>
    <cacheField name="SALLARY" numFmtId="164">
      <sharedItems containsSemiMixedTypes="0" containsString="0" containsNumber="1" containsInteger="1" minValue="45000" maxValue="105000"/>
    </cacheField>
    <cacheField name="DATE OF JON" numFmtId="0">
      <sharedItems containsDate="1" containsMixedTypes="1" minDate="2001-04-05T00:00:00" maxDate="2020-09-26T00:00:00"/>
    </cacheField>
    <cacheField name="RETIRMENT DATE" numFmtId="0">
      <sharedItems containsDate="1" containsMixedTypes="1" minDate="2036-05-16T00:00:00" maxDate="2064-02-24T00:00:00"/>
    </cacheField>
    <cacheField name="DIGNATIONS" numFmtId="0">
      <sharedItems count="8">
        <s v="SOFWARE ENG"/>
        <s v="JUNIOR ENG"/>
        <s v="LEFTINANT CORNAL"/>
        <s v="ASSISTANT PROFESER"/>
        <s v="SENIOR DOCTOR"/>
        <s v="CHEF MANAGER"/>
        <s v="SEO ENG"/>
        <s v=" JONAL MANAGER"/>
      </sharedItems>
    </cacheField>
    <cacheField name="MOBILE N." numFmtId="0">
      <sharedItems containsSemiMixedTypes="0" containsString="0" containsNumber="1" containsInteger="1" minValue="2356779870" maxValue="9816788660"/>
    </cacheField>
    <cacheField name="JOB NATURS" numFmtId="0">
      <sharedItems/>
    </cacheField>
    <cacheField name="GOVE/PRIVATE" numFmtId="0">
      <sharedItems/>
    </cacheField>
    <cacheField name="STATE NAME" numFmtId="0">
      <sharedItems count="5">
        <s v="JHARKHAND"/>
        <s v="JAMU KAMIR"/>
        <s v="BIHAR"/>
        <s v="ANDHRA PRADESH"/>
        <s v="WEST BANG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B011"/>
    <s v="DINESHWAR PASWAN"/>
    <x v="0"/>
    <s v="MALE"/>
    <x v="0"/>
    <n v="57000"/>
    <s v="15/M/2026"/>
    <d v="2058-09-10T00:00:00"/>
    <x v="0"/>
    <n v="9816788660"/>
    <s v="FUL TMLE"/>
    <s v="PRIVATE"/>
    <x v="0"/>
  </r>
  <r>
    <s v="R012"/>
    <s v="MUKESH KMAR RAJAK"/>
    <x v="1"/>
    <s v="MALE"/>
    <x v="1"/>
    <n v="45000"/>
    <d v="2015-06-12T00:00:00"/>
    <s v="05/AGU/2045"/>
    <x v="1"/>
    <n v="8705349868"/>
    <s v="FUL TMLE"/>
    <s v="CENRAL GOVERNT"/>
    <x v="0"/>
  </r>
  <r>
    <s v="D012"/>
    <s v="RAVENDER MAHTO"/>
    <x v="2"/>
    <s v="MALE"/>
    <x v="2"/>
    <n v="62000"/>
    <d v="2001-04-05T00:00:00"/>
    <d v="2036-05-16T00:00:00"/>
    <x v="2"/>
    <n v="6550865433"/>
    <s v="FUL TMLE"/>
    <s v="CENTRAL GOVERNMENT"/>
    <x v="1"/>
  </r>
  <r>
    <s v="TE012"/>
    <s v="MONIKA SINGH"/>
    <x v="3"/>
    <s v="FAMALE"/>
    <x v="3"/>
    <n v="50500"/>
    <d v="2020-09-25T00:00:00"/>
    <d v="2064-02-23T00:00:00"/>
    <x v="3"/>
    <n v="7543786438"/>
    <s v="FUL TMLE"/>
    <s v="STATE GOVERMANT"/>
    <x v="2"/>
  </r>
  <r>
    <s v="D012"/>
    <s v="SIMA KUMARI PASWAN"/>
    <x v="4"/>
    <s v="FAMALE"/>
    <x v="4"/>
    <n v="78000"/>
    <d v="2007-01-27T00:00:00"/>
    <d v="2041-11-10T00:00:00"/>
    <x v="4"/>
    <n v="8466547408"/>
    <s v="FUL TMLE"/>
    <s v="CENTRAL GOVERNMENT"/>
    <x v="0"/>
  </r>
  <r>
    <s v="BK012"/>
    <s v="PREM PASWAN"/>
    <x v="5"/>
    <s v="MALE"/>
    <x v="5"/>
    <n v="75000"/>
    <d v="2016-04-17T00:00:00"/>
    <d v="2051-12-18T00:00:00"/>
    <x v="5"/>
    <n v="8906543380"/>
    <s v="FUL TMLE"/>
    <s v="CENTRAL GOVERNMENT"/>
    <x v="2"/>
  </r>
  <r>
    <s v="IT012"/>
    <s v="NEHA KMARI"/>
    <x v="6"/>
    <s v="FAMALE"/>
    <x v="6"/>
    <n v="95000"/>
    <d v="2009-03-25T00:00:00"/>
    <d v="2042-09-20T00:00:00"/>
    <x v="6"/>
    <n v="2356779870"/>
    <s v="PART TIME"/>
    <s v="PRIVATE"/>
    <x v="3"/>
  </r>
  <r>
    <s v="C012"/>
    <s v="SNEHLAT PANDIT"/>
    <x v="7"/>
    <s v="FAMALE"/>
    <x v="7"/>
    <n v="105000"/>
    <d v="2018-02-04T00:00:00"/>
    <s v="13/AG/2054"/>
    <x v="7"/>
    <n v="6666606655"/>
    <s v="PART TIME"/>
    <s v="PRIVATE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326035-9BED-4E3A-AD21-CBE5484CD36B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 chartFormat="3">
  <location ref="A4:B21" firstHeaderRow="1" firstDataRow="1" firstDataCol="1" rowPageCount="1" colPageCount="1"/>
  <pivotFields count="13">
    <pivotField showAll="0" defaultSubtotal="0"/>
    <pivotField showAll="0" defaultSubtotal="0"/>
    <pivotField axis="axisRow" multipleItemSelectionAllowed="1" showAll="0" defaultSubtotal="0">
      <items count="8">
        <item x="6"/>
        <item x="5"/>
        <item x="7"/>
        <item x="2"/>
        <item x="4"/>
        <item x="0"/>
        <item x="1"/>
        <item x="3"/>
      </items>
    </pivotField>
    <pivotField showAll="0" defaultSubtotal="0"/>
    <pivotField axis="axisRow" showAll="0" defaultSubtotal="0">
      <items count="8">
        <item x="0"/>
        <item x="4"/>
        <item x="5"/>
        <item x="6"/>
        <item x="2"/>
        <item x="7"/>
        <item x="3"/>
        <item x="1"/>
      </items>
    </pivotField>
    <pivotField dataField="1" numFmtId="164" showAll="0" defaultSubtotal="0"/>
    <pivotField showAll="0" defaultSubtotal="0"/>
    <pivotField showAll="0" defaultSubtotal="0"/>
    <pivotField showAll="0" defaultSubtotal="0">
      <items count="8">
        <item x="7"/>
        <item x="3"/>
        <item x="5"/>
        <item x="1"/>
        <item x="2"/>
        <item x="4"/>
        <item x="6"/>
        <item x="0"/>
      </items>
    </pivotField>
    <pivotField showAll="0" defaultSubtotal="0"/>
    <pivotField showAll="0" defaultSubtotal="0"/>
    <pivotField showAll="0" defaultSubtotal="0"/>
    <pivotField axis="axisPage" multipleItemSelectionAllowed="1" showAll="0" defaultSubtotal="0">
      <items count="5">
        <item x="3"/>
        <item x="2"/>
        <item x="1"/>
        <item x="0"/>
        <item x="4"/>
      </items>
    </pivotField>
  </pivotFields>
  <rowFields count="2">
    <field x="2"/>
    <field x="4"/>
  </rowFields>
  <rowItems count="17">
    <i>
      <x/>
    </i>
    <i r="1">
      <x v="3"/>
    </i>
    <i>
      <x v="1"/>
    </i>
    <i r="1">
      <x v="2"/>
    </i>
    <i>
      <x v="2"/>
    </i>
    <i r="1">
      <x v="5"/>
    </i>
    <i>
      <x v="3"/>
    </i>
    <i r="1">
      <x v="4"/>
    </i>
    <i>
      <x v="4"/>
    </i>
    <i r="1">
      <x v="1"/>
    </i>
    <i>
      <x v="5"/>
    </i>
    <i r="1">
      <x/>
    </i>
    <i>
      <x v="6"/>
    </i>
    <i r="1">
      <x v="7"/>
    </i>
    <i>
      <x v="7"/>
    </i>
    <i r="1">
      <x v="6"/>
    </i>
    <i t="grand">
      <x/>
    </i>
  </rowItems>
  <colItems count="1">
    <i/>
  </colItems>
  <pageFields count="1">
    <pageField fld="12" hier="-1"/>
  </pageFields>
  <dataFields count="1">
    <dataField name="Sum of SALLARY" fld="5" baseField="0" baseItem="0" numFmtId="164"/>
  </dataFields>
  <chartFormats count="1">
    <chartFormat chart="0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E9BD97-1DB7-4EB7-8DEF-4FA42ABD1AD4}" name="Table2" displayName="Table2" ref="A3:M4" totalsRowShown="0">
  <autoFilter ref="A3:M4" xr:uid="{1DE9BD97-1DB7-4EB7-8DEF-4FA42ABD1AD4}"/>
  <tableColumns count="13">
    <tableColumn id="1" xr3:uid="{40353C21-EBB6-4DB5-AC55-D7DBEB600836}" name="JOB_ID"/>
    <tableColumn id="2" xr3:uid="{8B532B54-4AE6-42E8-9F4A-C5A3F25BBDB7}" name="EMPLOYE NAME"/>
    <tableColumn id="3" xr3:uid="{EBA3C84E-FDF7-418A-90B6-58ECD353DC92}" name="DEPATMENS"/>
    <tableColumn id="4" xr3:uid="{CD6787CE-4455-4770-8071-274B445B469A}" name="GENDER"/>
    <tableColumn id="5" xr3:uid="{D4E0B7D5-872B-484A-BDB6-64A8EB0F998F}" name="JOB CITY"/>
    <tableColumn id="6" xr3:uid="{8A4D0DB5-5CD6-465C-BBF5-081E98EF3645}" name="SALLARY"/>
    <tableColumn id="7" xr3:uid="{4E190B77-0DCB-417E-9AED-24DAD3FF54D0}" name="DATE OF JON" dataDxfId="1"/>
    <tableColumn id="8" xr3:uid="{4EED83EF-C604-488D-BF45-9FAB22933E36}" name="RETIRMENT DATE" dataDxfId="0"/>
    <tableColumn id="9" xr3:uid="{80F98C5B-EF7F-4E86-AD09-C740880AA40C}" name="DIGNATIONS"/>
    <tableColumn id="10" xr3:uid="{A3BF00FE-01B1-4541-8D56-484EA0B29E7A}" name="MOBILE N."/>
    <tableColumn id="11" xr3:uid="{6CC406F3-CF7E-4136-A9E1-F3CD28CFC1FD}" name="JOB NATURS"/>
    <tableColumn id="12" xr3:uid="{46A47F84-4356-4773-88C9-9620DD23E6D7}" name="GOVE/PRIVATE"/>
    <tableColumn id="13" xr3:uid="{59DD7AD1-BDEF-492B-89C2-AE61D1734DEB}" name="STATE NAM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C1D010-B2CB-4DF4-92B4-3A28BF44D608}" name="employee_table" displayName="employee_table" ref="B2:M10" totalsRowShown="0" headerRowDxfId="18" dataDxfId="16" headerRowBorderDxfId="17" tableBorderDxfId="15" totalsRowBorderDxfId="14">
  <autoFilter ref="B2:M10" xr:uid="{E6C1D010-B2CB-4DF4-92B4-3A28BF44D608}"/>
  <tableColumns count="12">
    <tableColumn id="1" xr3:uid="{77E5ADB4-5B21-4032-A2A1-75F3D8EC3C78}" name="EMPLOYE NAME" dataDxfId="13"/>
    <tableColumn id="2" xr3:uid="{B1079D56-2E94-4788-AC33-1A1E3B0D854B}" name="DEPATMENS" dataDxfId="12"/>
    <tableColumn id="3" xr3:uid="{DC54C203-3276-4085-9DC2-2CDF577A786C}" name="GENDER" dataDxfId="11"/>
    <tableColumn id="4" xr3:uid="{AE527568-8CD1-4074-9061-5F06774D9269}" name="JOB CITY" dataDxfId="10"/>
    <tableColumn id="5" xr3:uid="{6BB0666E-9C74-46E4-9DAE-E2677B86CE98}" name="SALLARY" dataDxfId="9"/>
    <tableColumn id="6" xr3:uid="{E510CFEA-03E9-4CBA-9C31-B9C58F6EF7EA}" name="DATE OF JON" dataDxfId="8"/>
    <tableColumn id="7" xr3:uid="{4FF31751-D4A2-4C11-A263-519DF82D7280}" name="RETIRMENT DATE" dataDxfId="7"/>
    <tableColumn id="8" xr3:uid="{DF942A1E-4F40-49ED-8206-63C96AECE25E}" name="DIGNATIONS" dataDxfId="6"/>
    <tableColumn id="9" xr3:uid="{74473B0E-269D-4DA4-BD58-267E7634D273}" name="MOBILE N." dataDxfId="5"/>
    <tableColumn id="10" xr3:uid="{4B560BB1-FBB8-4290-9DAC-D5D48EF78964}" name="JOB NATURS" dataDxfId="4"/>
    <tableColumn id="11" xr3:uid="{91752F27-6C8C-4F86-B6D4-776570BBCF94}" name="GOVE/PRIVATE" dataDxfId="3"/>
    <tableColumn id="12" xr3:uid="{ACD232E5-FA45-44BB-BE0F-1B9FCAE53B7B}" name="STATE NAME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991E8-733F-4502-B35F-CD34881A0B68}">
  <dimension ref="A1:M4"/>
  <sheetViews>
    <sheetView workbookViewId="0">
      <selection activeCell="A3" sqref="A3:M4"/>
    </sheetView>
  </sheetViews>
  <sheetFormatPr defaultRowHeight="15" x14ac:dyDescent="0.25"/>
  <cols>
    <col min="1" max="1" width="9.42578125" bestFit="1" customWidth="1"/>
    <col min="2" max="2" width="17.85546875" bestFit="1" customWidth="1"/>
    <col min="3" max="3" width="14.28515625" bestFit="1" customWidth="1"/>
    <col min="4" max="4" width="10.5703125" bestFit="1" customWidth="1"/>
    <col min="5" max="6" width="10.85546875" bestFit="1" customWidth="1"/>
    <col min="7" max="7" width="14.7109375" bestFit="1" customWidth="1"/>
    <col min="8" max="8" width="18.5703125" bestFit="1" customWidth="1"/>
    <col min="9" max="9" width="20.140625" bestFit="1" customWidth="1"/>
    <col min="10" max="10" width="12.5703125" bestFit="1" customWidth="1"/>
    <col min="11" max="11" width="14.28515625" bestFit="1" customWidth="1"/>
    <col min="12" max="12" width="18.5703125" bestFit="1" customWidth="1"/>
    <col min="13" max="13" width="14.5703125" bestFit="1" customWidth="1"/>
  </cols>
  <sheetData>
    <row r="1" spans="1:13" x14ac:dyDescent="0.25">
      <c r="A1" s="35" t="s">
        <v>121</v>
      </c>
    </row>
    <row r="3" spans="1:13" x14ac:dyDescent="0.25">
      <c r="A3" t="s">
        <v>0</v>
      </c>
      <c r="B3" t="s">
        <v>3</v>
      </c>
      <c r="C3" t="s">
        <v>24</v>
      </c>
      <c r="D3" t="s">
        <v>1</v>
      </c>
      <c r="E3" t="s">
        <v>2</v>
      </c>
      <c r="F3" t="s">
        <v>116</v>
      </c>
      <c r="G3" t="s">
        <v>4</v>
      </c>
      <c r="H3" t="s">
        <v>5</v>
      </c>
      <c r="I3" t="s">
        <v>40</v>
      </c>
      <c r="J3" t="s">
        <v>66</v>
      </c>
      <c r="K3" t="s">
        <v>41</v>
      </c>
      <c r="L3" t="s">
        <v>43</v>
      </c>
      <c r="M3" t="s">
        <v>48</v>
      </c>
    </row>
    <row r="4" spans="1:13" x14ac:dyDescent="0.25">
      <c r="A4" t="s">
        <v>25</v>
      </c>
      <c r="B4" t="s">
        <v>26</v>
      </c>
      <c r="C4" t="s">
        <v>27</v>
      </c>
      <c r="D4" t="s">
        <v>30</v>
      </c>
      <c r="E4" t="s">
        <v>28</v>
      </c>
      <c r="F4">
        <v>50500</v>
      </c>
      <c r="G4" s="36">
        <v>44099</v>
      </c>
      <c r="H4" s="36">
        <v>59955</v>
      </c>
      <c r="I4" t="s">
        <v>29</v>
      </c>
      <c r="J4">
        <v>7543786438</v>
      </c>
      <c r="K4" t="s">
        <v>42</v>
      </c>
      <c r="L4" t="s">
        <v>46</v>
      </c>
      <c r="M4" t="s">
        <v>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C9C9F-47F3-4322-A89B-06B0327E5599}">
  <dimension ref="A2:B21"/>
  <sheetViews>
    <sheetView tabSelected="1" topLeftCell="A3" workbookViewId="0">
      <selection activeCell="L12" sqref="A1:XFD1048576"/>
    </sheetView>
  </sheetViews>
  <sheetFormatPr defaultRowHeight="15" x14ac:dyDescent="0.25"/>
  <cols>
    <col min="1" max="1" width="18.42578125" bestFit="1" customWidth="1"/>
    <col min="2" max="2" width="15.28515625" bestFit="1" customWidth="1"/>
    <col min="3" max="3" width="11.7109375" bestFit="1" customWidth="1"/>
    <col min="4" max="4" width="9.7109375" bestFit="1" customWidth="1"/>
    <col min="5" max="5" width="11.28515625" bestFit="1" customWidth="1"/>
    <col min="6" max="6" width="15.140625" bestFit="1" customWidth="1"/>
    <col min="7" max="7" width="9.140625" bestFit="1" customWidth="1"/>
    <col min="8" max="8" width="7.140625" bestFit="1" customWidth="1"/>
    <col min="9" max="9" width="7.85546875" bestFit="1" customWidth="1"/>
    <col min="10" max="10" width="11.28515625" bestFit="1" customWidth="1"/>
    <col min="11" max="11" width="12.5703125" bestFit="1" customWidth="1"/>
    <col min="12" max="12" width="11.5703125" bestFit="1" customWidth="1"/>
    <col min="13" max="13" width="14.7109375" bestFit="1" customWidth="1"/>
    <col min="14" max="14" width="11.140625" bestFit="1" customWidth="1"/>
    <col min="15" max="15" width="14.28515625" bestFit="1" customWidth="1"/>
    <col min="16" max="16" width="10.7109375" bestFit="1" customWidth="1"/>
    <col min="17" max="17" width="13.85546875" bestFit="1" customWidth="1"/>
    <col min="18" max="18" width="11.28515625" bestFit="1" customWidth="1"/>
  </cols>
  <sheetData>
    <row r="2" spans="1:2" x14ac:dyDescent="0.25">
      <c r="A2" s="24" t="s">
        <v>48</v>
      </c>
      <c r="B2" t="s">
        <v>120</v>
      </c>
    </row>
    <row r="4" spans="1:2" x14ac:dyDescent="0.25">
      <c r="A4" s="24" t="s">
        <v>117</v>
      </c>
      <c r="B4" t="s">
        <v>119</v>
      </c>
    </row>
    <row r="5" spans="1:2" x14ac:dyDescent="0.25">
      <c r="A5" s="25" t="s">
        <v>62</v>
      </c>
      <c r="B5" s="37"/>
    </row>
    <row r="6" spans="1:2" x14ac:dyDescent="0.25">
      <c r="A6" s="26" t="s">
        <v>63</v>
      </c>
      <c r="B6" s="37">
        <v>95000</v>
      </c>
    </row>
    <row r="7" spans="1:2" x14ac:dyDescent="0.25">
      <c r="A7" s="25" t="s">
        <v>37</v>
      </c>
      <c r="B7" s="37"/>
    </row>
    <row r="8" spans="1:2" x14ac:dyDescent="0.25">
      <c r="A8" s="26" t="s">
        <v>38</v>
      </c>
      <c r="B8" s="37">
        <v>75000</v>
      </c>
    </row>
    <row r="9" spans="1:2" x14ac:dyDescent="0.25">
      <c r="A9" s="25" t="s">
        <v>54</v>
      </c>
      <c r="B9" s="37"/>
    </row>
    <row r="10" spans="1:2" x14ac:dyDescent="0.25">
      <c r="A10" s="26" t="s">
        <v>55</v>
      </c>
      <c r="B10" s="37">
        <v>105000</v>
      </c>
    </row>
    <row r="11" spans="1:2" x14ac:dyDescent="0.25">
      <c r="A11" s="25" t="s">
        <v>19</v>
      </c>
      <c r="B11" s="37"/>
    </row>
    <row r="12" spans="1:2" x14ac:dyDescent="0.25">
      <c r="A12" s="26" t="s">
        <v>20</v>
      </c>
      <c r="B12" s="37">
        <v>62000</v>
      </c>
    </row>
    <row r="13" spans="1:2" x14ac:dyDescent="0.25">
      <c r="A13" s="25" t="s">
        <v>32</v>
      </c>
      <c r="B13" s="37"/>
    </row>
    <row r="14" spans="1:2" x14ac:dyDescent="0.25">
      <c r="A14" s="26" t="s">
        <v>33</v>
      </c>
      <c r="B14" s="37">
        <v>78000</v>
      </c>
    </row>
    <row r="15" spans="1:2" x14ac:dyDescent="0.25">
      <c r="A15" s="25" t="s">
        <v>7</v>
      </c>
      <c r="B15" s="37"/>
    </row>
    <row r="16" spans="1:2" x14ac:dyDescent="0.25">
      <c r="A16" s="26" t="s">
        <v>10</v>
      </c>
      <c r="B16" s="37">
        <v>57000</v>
      </c>
    </row>
    <row r="17" spans="1:2" x14ac:dyDescent="0.25">
      <c r="A17" s="25" t="s">
        <v>14</v>
      </c>
      <c r="B17" s="37"/>
    </row>
    <row r="18" spans="1:2" x14ac:dyDescent="0.25">
      <c r="A18" s="26" t="s">
        <v>15</v>
      </c>
      <c r="B18" s="37">
        <v>45000</v>
      </c>
    </row>
    <row r="19" spans="1:2" x14ac:dyDescent="0.25">
      <c r="A19" s="25" t="s">
        <v>27</v>
      </c>
      <c r="B19" s="37"/>
    </row>
    <row r="20" spans="1:2" x14ac:dyDescent="0.25">
      <c r="A20" s="26" t="s">
        <v>28</v>
      </c>
      <c r="B20" s="37">
        <v>50500</v>
      </c>
    </row>
    <row r="21" spans="1:2" x14ac:dyDescent="0.25">
      <c r="A21" s="25" t="s">
        <v>118</v>
      </c>
      <c r="B21" s="37">
        <v>567500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workbookViewId="0">
      <selection activeCell="A2" sqref="A1:M10"/>
    </sheetView>
  </sheetViews>
  <sheetFormatPr defaultRowHeight="15" x14ac:dyDescent="0.25"/>
  <cols>
    <col min="2" max="2" width="27" customWidth="1"/>
    <col min="3" max="3" width="21.7109375" customWidth="1"/>
    <col min="4" max="4" width="15.7109375" customWidth="1"/>
    <col min="5" max="5" width="16.7109375" customWidth="1"/>
    <col min="6" max="6" width="17.140625" customWidth="1"/>
    <col min="7" max="7" width="23.140625" customWidth="1"/>
    <col min="8" max="8" width="29.28515625" customWidth="1"/>
    <col min="9" max="10" width="22.42578125" customWidth="1"/>
    <col min="11" max="11" width="22.28515625" customWidth="1"/>
    <col min="12" max="12" width="25.140625" customWidth="1"/>
    <col min="13" max="13" width="22.42578125" customWidth="1"/>
  </cols>
  <sheetData>
    <row r="1" spans="1:13" ht="33.75" x14ac:dyDescent="0.6">
      <c r="A1" s="27" t="s">
        <v>67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ht="20.25" x14ac:dyDescent="0.3">
      <c r="A2" s="5" t="s">
        <v>0</v>
      </c>
      <c r="B2" s="16" t="s">
        <v>3</v>
      </c>
      <c r="C2" s="17" t="s">
        <v>24</v>
      </c>
      <c r="D2" s="17" t="s">
        <v>1</v>
      </c>
      <c r="E2" s="17" t="s">
        <v>2</v>
      </c>
      <c r="F2" s="17" t="s">
        <v>116</v>
      </c>
      <c r="G2" s="17" t="s">
        <v>4</v>
      </c>
      <c r="H2" s="17" t="s">
        <v>5</v>
      </c>
      <c r="I2" s="17" t="s">
        <v>40</v>
      </c>
      <c r="J2" s="17" t="s">
        <v>66</v>
      </c>
      <c r="K2" s="17" t="s">
        <v>41</v>
      </c>
      <c r="L2" s="17" t="s">
        <v>43</v>
      </c>
      <c r="M2" s="18" t="s">
        <v>48</v>
      </c>
    </row>
    <row r="3" spans="1:13" ht="15.75" x14ac:dyDescent="0.25">
      <c r="A3" s="2" t="s">
        <v>11</v>
      </c>
      <c r="B3" s="14" t="s">
        <v>6</v>
      </c>
      <c r="C3" s="2" t="s">
        <v>7</v>
      </c>
      <c r="D3" s="2" t="s">
        <v>8</v>
      </c>
      <c r="E3" s="2" t="s">
        <v>10</v>
      </c>
      <c r="F3" s="13">
        <v>57000</v>
      </c>
      <c r="G3" s="2" t="s">
        <v>9</v>
      </c>
      <c r="H3" s="3">
        <v>57963</v>
      </c>
      <c r="I3" s="2" t="s">
        <v>21</v>
      </c>
      <c r="J3" s="2">
        <v>9816788660</v>
      </c>
      <c r="K3" s="2" t="s">
        <v>42</v>
      </c>
      <c r="L3" s="2" t="s">
        <v>44</v>
      </c>
      <c r="M3" s="15" t="s">
        <v>49</v>
      </c>
    </row>
    <row r="4" spans="1:13" ht="15.75" x14ac:dyDescent="0.25">
      <c r="A4" s="2" t="s">
        <v>12</v>
      </c>
      <c r="B4" s="14" t="s">
        <v>13</v>
      </c>
      <c r="C4" s="2" t="s">
        <v>14</v>
      </c>
      <c r="D4" s="2" t="s">
        <v>8</v>
      </c>
      <c r="E4" s="2" t="s">
        <v>15</v>
      </c>
      <c r="F4" s="13">
        <v>45000</v>
      </c>
      <c r="G4" s="3">
        <v>42167</v>
      </c>
      <c r="H4" s="2" t="s">
        <v>16</v>
      </c>
      <c r="I4" s="2" t="s">
        <v>22</v>
      </c>
      <c r="J4" s="2">
        <v>8705349868</v>
      </c>
      <c r="K4" s="2" t="s">
        <v>42</v>
      </c>
      <c r="L4" s="2" t="s">
        <v>45</v>
      </c>
      <c r="M4" s="15" t="s">
        <v>49</v>
      </c>
    </row>
    <row r="5" spans="1:13" ht="15.75" x14ac:dyDescent="0.25">
      <c r="A5" s="2" t="s">
        <v>17</v>
      </c>
      <c r="B5" s="14" t="s">
        <v>18</v>
      </c>
      <c r="C5" s="2" t="s">
        <v>19</v>
      </c>
      <c r="D5" s="2" t="s">
        <v>8</v>
      </c>
      <c r="E5" s="2" t="s">
        <v>20</v>
      </c>
      <c r="F5" s="13">
        <v>62000</v>
      </c>
      <c r="G5" s="3">
        <v>36986</v>
      </c>
      <c r="H5" s="3">
        <v>49811</v>
      </c>
      <c r="I5" s="2" t="s">
        <v>23</v>
      </c>
      <c r="J5" s="2">
        <v>6550865433</v>
      </c>
      <c r="K5" s="2" t="s">
        <v>42</v>
      </c>
      <c r="L5" s="2" t="s">
        <v>47</v>
      </c>
      <c r="M5" s="15" t="s">
        <v>50</v>
      </c>
    </row>
    <row r="6" spans="1:13" ht="15.75" x14ac:dyDescent="0.25">
      <c r="A6" s="2" t="s">
        <v>25</v>
      </c>
      <c r="B6" s="14" t="s">
        <v>26</v>
      </c>
      <c r="C6" s="2" t="s">
        <v>27</v>
      </c>
      <c r="D6" s="2" t="s">
        <v>30</v>
      </c>
      <c r="E6" s="2" t="s">
        <v>28</v>
      </c>
      <c r="F6" s="13">
        <v>50500</v>
      </c>
      <c r="G6" s="3">
        <v>44099</v>
      </c>
      <c r="H6" s="3">
        <v>59955</v>
      </c>
      <c r="I6" s="2" t="s">
        <v>29</v>
      </c>
      <c r="J6" s="2">
        <v>7543786438</v>
      </c>
      <c r="K6" s="2" t="s">
        <v>42</v>
      </c>
      <c r="L6" s="2" t="s">
        <v>46</v>
      </c>
      <c r="M6" s="15" t="s">
        <v>51</v>
      </c>
    </row>
    <row r="7" spans="1:13" ht="15.75" x14ac:dyDescent="0.25">
      <c r="A7" s="2" t="s">
        <v>17</v>
      </c>
      <c r="B7" s="14" t="s">
        <v>31</v>
      </c>
      <c r="C7" s="2" t="s">
        <v>32</v>
      </c>
      <c r="D7" s="2" t="s">
        <v>30</v>
      </c>
      <c r="E7" s="2" t="s">
        <v>33</v>
      </c>
      <c r="F7" s="13">
        <v>78000</v>
      </c>
      <c r="G7" s="3">
        <v>39109</v>
      </c>
      <c r="H7" s="3">
        <v>51815</v>
      </c>
      <c r="I7" s="2" t="s">
        <v>34</v>
      </c>
      <c r="J7" s="2">
        <v>8466547408</v>
      </c>
      <c r="K7" s="2" t="s">
        <v>42</v>
      </c>
      <c r="L7" s="2" t="s">
        <v>47</v>
      </c>
      <c r="M7" s="15" t="s">
        <v>49</v>
      </c>
    </row>
    <row r="8" spans="1:13" ht="15.75" x14ac:dyDescent="0.25">
      <c r="A8" s="2" t="s">
        <v>35</v>
      </c>
      <c r="B8" s="14" t="s">
        <v>36</v>
      </c>
      <c r="C8" s="2" t="s">
        <v>37</v>
      </c>
      <c r="D8" s="2" t="s">
        <v>8</v>
      </c>
      <c r="E8" s="2" t="s">
        <v>38</v>
      </c>
      <c r="F8" s="13">
        <v>75000</v>
      </c>
      <c r="G8" s="3">
        <v>42477</v>
      </c>
      <c r="H8" s="3">
        <v>55505</v>
      </c>
      <c r="I8" s="2" t="s">
        <v>39</v>
      </c>
      <c r="J8" s="2">
        <v>8906543380</v>
      </c>
      <c r="K8" s="2" t="s">
        <v>42</v>
      </c>
      <c r="L8" s="2" t="s">
        <v>47</v>
      </c>
      <c r="M8" s="15" t="s">
        <v>51</v>
      </c>
    </row>
    <row r="9" spans="1:13" ht="15.75" x14ac:dyDescent="0.25">
      <c r="A9" s="2" t="s">
        <v>60</v>
      </c>
      <c r="B9" s="14" t="s">
        <v>61</v>
      </c>
      <c r="C9" s="2" t="s">
        <v>62</v>
      </c>
      <c r="D9" s="2" t="s">
        <v>30</v>
      </c>
      <c r="E9" s="2" t="s">
        <v>63</v>
      </c>
      <c r="F9" s="13">
        <v>95000</v>
      </c>
      <c r="G9" s="3">
        <v>39897</v>
      </c>
      <c r="H9" s="3">
        <v>52129</v>
      </c>
      <c r="I9" s="2" t="s">
        <v>64</v>
      </c>
      <c r="J9" s="2">
        <v>2356779870</v>
      </c>
      <c r="K9" s="2" t="s">
        <v>58</v>
      </c>
      <c r="L9" s="2" t="s">
        <v>44</v>
      </c>
      <c r="M9" s="15" t="s">
        <v>65</v>
      </c>
    </row>
    <row r="10" spans="1:13" ht="15.75" x14ac:dyDescent="0.25">
      <c r="A10" s="2" t="s">
        <v>52</v>
      </c>
      <c r="B10" s="19" t="s">
        <v>53</v>
      </c>
      <c r="C10" s="20" t="s">
        <v>54</v>
      </c>
      <c r="D10" s="20" t="s">
        <v>30</v>
      </c>
      <c r="E10" s="20" t="s">
        <v>55</v>
      </c>
      <c r="F10" s="21">
        <v>105000</v>
      </c>
      <c r="G10" s="22">
        <v>43135</v>
      </c>
      <c r="H10" s="20" t="s">
        <v>56</v>
      </c>
      <c r="I10" s="20" t="s">
        <v>57</v>
      </c>
      <c r="J10" s="20">
        <v>6666606655</v>
      </c>
      <c r="K10" s="20" t="s">
        <v>58</v>
      </c>
      <c r="L10" s="20" t="s">
        <v>44</v>
      </c>
      <c r="M10" s="23" t="s">
        <v>59</v>
      </c>
    </row>
    <row r="11" spans="1:13" x14ac:dyDescent="0.25">
      <c r="L11" s="1"/>
    </row>
    <row r="17" spans="5:5" ht="18.75" x14ac:dyDescent="0.3">
      <c r="E17" s="4"/>
    </row>
  </sheetData>
  <mergeCells count="1">
    <mergeCell ref="A1:M1"/>
  </mergeCells>
  <dataValidations count="3">
    <dataValidation type="list" allowBlank="1" showInputMessage="1" showErrorMessage="1" sqref="E3:E10" xr:uid="{00000000-0002-0000-0000-000000000000}">
      <formula1>"BOKARO,RANCHI,DHANBAD,JAMUKASHMIR,GAYA JI,HYDRABAD,KOLKATA,PUNE,BANARAS,BOPAL,NEW DELHI"</formula1>
    </dataValidation>
    <dataValidation type="list" allowBlank="1" showInputMessage="1" showErrorMessage="1" sqref="K3:K10" xr:uid="{00000000-0002-0000-0000-000001000000}">
      <formula1>"FULL TIME,PART TIME"</formula1>
    </dataValidation>
    <dataValidation type="list" allowBlank="1" showInputMessage="1" showErrorMessage="1" sqref="D3:D10" xr:uid="{00000000-0002-0000-0000-000002000000}">
      <formula1>"MALE,FAMALE"</formula1>
    </dataValidation>
  </dataValidation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topLeftCell="A2" workbookViewId="0">
      <selection activeCell="F18" sqref="F18"/>
    </sheetView>
  </sheetViews>
  <sheetFormatPr defaultRowHeight="15" x14ac:dyDescent="0.25"/>
  <cols>
    <col min="1" max="1" width="11.28515625" bestFit="1" customWidth="1"/>
    <col min="2" max="2" width="23.7109375" bestFit="1" customWidth="1"/>
    <col min="3" max="3" width="19.5703125" bestFit="1" customWidth="1"/>
    <col min="4" max="4" width="14.5703125" bestFit="1" customWidth="1"/>
    <col min="5" max="5" width="26" bestFit="1" customWidth="1"/>
    <col min="6" max="6" width="20.7109375" bestFit="1" customWidth="1"/>
    <col min="7" max="8" width="25.5703125" bestFit="1" customWidth="1"/>
    <col min="9" max="9" width="16.5703125" bestFit="1" customWidth="1"/>
  </cols>
  <sheetData>
    <row r="1" spans="1:9" ht="37.5" x14ac:dyDescent="0.65">
      <c r="A1" s="31" t="s">
        <v>74</v>
      </c>
      <c r="B1" s="31"/>
      <c r="C1" s="31"/>
      <c r="D1" s="31"/>
      <c r="E1" s="31"/>
      <c r="F1" s="31"/>
      <c r="G1" s="31"/>
      <c r="H1" s="31"/>
      <c r="I1" s="31"/>
    </row>
    <row r="2" spans="1:9" ht="33.75" x14ac:dyDescent="0.6">
      <c r="A2" s="32" t="s">
        <v>75</v>
      </c>
      <c r="B2" s="32"/>
      <c r="C2" s="32"/>
      <c r="D2" s="32"/>
      <c r="E2" s="32"/>
      <c r="F2" s="32"/>
      <c r="G2" s="32"/>
      <c r="H2" s="32"/>
      <c r="I2" s="32"/>
    </row>
    <row r="3" spans="1:9" ht="18.75" x14ac:dyDescent="0.3">
      <c r="A3" s="11" t="s">
        <v>91</v>
      </c>
      <c r="B3" s="11" t="s">
        <v>68</v>
      </c>
      <c r="C3" s="11" t="s">
        <v>69</v>
      </c>
      <c r="D3" s="11" t="s">
        <v>70</v>
      </c>
      <c r="E3" s="11" t="s">
        <v>110</v>
      </c>
      <c r="F3" s="11" t="s">
        <v>71</v>
      </c>
      <c r="G3" s="11" t="s">
        <v>72</v>
      </c>
      <c r="H3" s="11" t="s">
        <v>1</v>
      </c>
      <c r="I3" s="11" t="s">
        <v>73</v>
      </c>
    </row>
    <row r="4" spans="1:9" x14ac:dyDescent="0.25">
      <c r="A4" s="6" t="s">
        <v>87</v>
      </c>
      <c r="B4" s="6" t="s">
        <v>88</v>
      </c>
      <c r="C4" s="12">
        <v>32000</v>
      </c>
      <c r="D4" s="6">
        <v>5</v>
      </c>
      <c r="E4" s="12">
        <f>C4*D4</f>
        <v>160000</v>
      </c>
      <c r="F4" s="7">
        <v>45736</v>
      </c>
      <c r="G4" s="7" t="s">
        <v>89</v>
      </c>
      <c r="H4" s="6" t="s">
        <v>8</v>
      </c>
      <c r="I4" s="6" t="s">
        <v>90</v>
      </c>
    </row>
    <row r="5" spans="1:9" x14ac:dyDescent="0.25">
      <c r="A5" s="6" t="s">
        <v>95</v>
      </c>
      <c r="B5" s="6" t="s">
        <v>76</v>
      </c>
      <c r="C5" s="12">
        <v>75000</v>
      </c>
      <c r="D5" s="6">
        <v>3</v>
      </c>
      <c r="E5" s="12">
        <f t="shared" ref="E5:E12" si="0">C5*D5</f>
        <v>225000</v>
      </c>
      <c r="F5" s="7">
        <v>45734</v>
      </c>
      <c r="G5" s="7" t="s">
        <v>84</v>
      </c>
      <c r="H5" s="6" t="s">
        <v>8</v>
      </c>
      <c r="I5" s="6" t="s">
        <v>77</v>
      </c>
    </row>
    <row r="6" spans="1:9" x14ac:dyDescent="0.25">
      <c r="A6" s="6" t="s">
        <v>78</v>
      </c>
      <c r="B6" s="6" t="s">
        <v>79</v>
      </c>
      <c r="C6" s="12">
        <v>85000</v>
      </c>
      <c r="D6" s="6">
        <v>1</v>
      </c>
      <c r="E6" s="12">
        <f t="shared" si="0"/>
        <v>85000</v>
      </c>
      <c r="F6" s="7" t="s">
        <v>80</v>
      </c>
      <c r="G6" s="7" t="s">
        <v>85</v>
      </c>
      <c r="H6" s="6" t="s">
        <v>30</v>
      </c>
      <c r="I6" s="6" t="s">
        <v>81</v>
      </c>
    </row>
    <row r="7" spans="1:9" x14ac:dyDescent="0.25">
      <c r="A7" s="6" t="s">
        <v>82</v>
      </c>
      <c r="B7" s="6" t="s">
        <v>83</v>
      </c>
      <c r="C7" s="12">
        <v>25000</v>
      </c>
      <c r="D7" s="6">
        <v>5</v>
      </c>
      <c r="E7" s="12">
        <f t="shared" si="0"/>
        <v>125000</v>
      </c>
      <c r="F7" s="7">
        <v>45611</v>
      </c>
      <c r="G7" s="7" t="s">
        <v>86</v>
      </c>
      <c r="H7" s="6" t="s">
        <v>8</v>
      </c>
      <c r="I7" s="6" t="s">
        <v>33</v>
      </c>
    </row>
    <row r="8" spans="1:9" x14ac:dyDescent="0.25">
      <c r="A8" s="6" t="s">
        <v>92</v>
      </c>
      <c r="B8" s="6" t="s">
        <v>93</v>
      </c>
      <c r="C8" s="12">
        <v>4000</v>
      </c>
      <c r="D8" s="6">
        <v>6</v>
      </c>
      <c r="E8" s="12">
        <f t="shared" si="0"/>
        <v>24000</v>
      </c>
      <c r="F8" s="7">
        <v>43840</v>
      </c>
      <c r="G8" s="7" t="s">
        <v>6</v>
      </c>
      <c r="H8" s="6" t="s">
        <v>8</v>
      </c>
      <c r="I8" s="6" t="s">
        <v>94</v>
      </c>
    </row>
    <row r="9" spans="1:9" x14ac:dyDescent="0.25">
      <c r="A9" s="6" t="s">
        <v>96</v>
      </c>
      <c r="B9" s="6" t="s">
        <v>97</v>
      </c>
      <c r="C9" s="12">
        <v>2500</v>
      </c>
      <c r="D9" s="6">
        <v>5</v>
      </c>
      <c r="E9" s="12">
        <f t="shared" si="0"/>
        <v>12500</v>
      </c>
      <c r="F9" s="7">
        <v>45225</v>
      </c>
      <c r="G9" s="7" t="s">
        <v>98</v>
      </c>
      <c r="H9" s="6" t="s">
        <v>30</v>
      </c>
      <c r="I9" s="6" t="s">
        <v>99</v>
      </c>
    </row>
    <row r="10" spans="1:9" x14ac:dyDescent="0.25">
      <c r="A10" s="6" t="s">
        <v>100</v>
      </c>
      <c r="B10" s="6" t="s">
        <v>101</v>
      </c>
      <c r="C10" s="12">
        <v>10500</v>
      </c>
      <c r="D10" s="6">
        <v>2</v>
      </c>
      <c r="E10" s="12">
        <f t="shared" si="0"/>
        <v>21000</v>
      </c>
      <c r="F10" s="7">
        <v>45638</v>
      </c>
      <c r="G10" s="7" t="s">
        <v>102</v>
      </c>
      <c r="H10" s="6" t="s">
        <v>30</v>
      </c>
      <c r="I10" s="6" t="s">
        <v>94</v>
      </c>
    </row>
    <row r="11" spans="1:9" x14ac:dyDescent="0.25">
      <c r="A11" s="6" t="s">
        <v>103</v>
      </c>
      <c r="B11" s="6" t="s">
        <v>104</v>
      </c>
      <c r="C11" s="12">
        <v>500</v>
      </c>
      <c r="D11" s="6">
        <v>15</v>
      </c>
      <c r="E11" s="12">
        <f t="shared" si="0"/>
        <v>7500</v>
      </c>
      <c r="F11" s="7">
        <v>44683</v>
      </c>
      <c r="G11" s="7" t="s">
        <v>105</v>
      </c>
      <c r="H11" s="6" t="s">
        <v>8</v>
      </c>
      <c r="I11" s="6" t="s">
        <v>106</v>
      </c>
    </row>
    <row r="12" spans="1:9" x14ac:dyDescent="0.25">
      <c r="A12" s="6" t="s">
        <v>107</v>
      </c>
      <c r="B12" s="6" t="s">
        <v>108</v>
      </c>
      <c r="C12" s="12">
        <v>28000</v>
      </c>
      <c r="D12" s="6">
        <v>3</v>
      </c>
      <c r="E12" s="12">
        <f t="shared" si="0"/>
        <v>84000</v>
      </c>
      <c r="F12" s="7">
        <v>44254</v>
      </c>
      <c r="G12" s="7" t="s">
        <v>109</v>
      </c>
      <c r="H12" s="6" t="s">
        <v>8</v>
      </c>
      <c r="I12" s="6" t="s">
        <v>55</v>
      </c>
    </row>
    <row r="13" spans="1:9" ht="18.75" x14ac:dyDescent="0.3">
      <c r="A13" s="8"/>
      <c r="B13" s="9"/>
      <c r="C13" s="29" t="s">
        <v>111</v>
      </c>
      <c r="D13" s="29"/>
      <c r="E13" s="12">
        <f>SUM(E4:E12)</f>
        <v>744000</v>
      </c>
      <c r="F13" s="10"/>
      <c r="G13" s="8"/>
      <c r="H13" s="8"/>
      <c r="I13" s="8"/>
    </row>
    <row r="14" spans="1:9" ht="26.25" customHeight="1" x14ac:dyDescent="0.3">
      <c r="C14" s="33" t="s">
        <v>112</v>
      </c>
      <c r="D14" s="34"/>
      <c r="E14" s="12">
        <f>E13*10%</f>
        <v>74400</v>
      </c>
    </row>
    <row r="15" spans="1:9" ht="18.75" x14ac:dyDescent="0.3">
      <c r="C15" s="29" t="s">
        <v>113</v>
      </c>
      <c r="D15" s="30"/>
      <c r="E15" s="12">
        <f>E13-E14</f>
        <v>669600</v>
      </c>
    </row>
    <row r="16" spans="1:9" ht="18.75" x14ac:dyDescent="0.3">
      <c r="C16" s="29" t="s">
        <v>114</v>
      </c>
      <c r="D16" s="30"/>
      <c r="E16" s="12">
        <f>E15*18%</f>
        <v>120528</v>
      </c>
    </row>
    <row r="17" spans="3:5" ht="18.75" x14ac:dyDescent="0.3">
      <c r="C17" s="29" t="s">
        <v>115</v>
      </c>
      <c r="D17" s="29"/>
      <c r="E17" s="12">
        <f>E15+E16</f>
        <v>790128</v>
      </c>
    </row>
  </sheetData>
  <mergeCells count="7">
    <mergeCell ref="C17:D17"/>
    <mergeCell ref="C16:D16"/>
    <mergeCell ref="A1:I1"/>
    <mergeCell ref="A2:I2"/>
    <mergeCell ref="C13:D13"/>
    <mergeCell ref="C15:D15"/>
    <mergeCell ref="C14:D14"/>
  </mergeCells>
  <dataValidations count="1">
    <dataValidation type="list" allowBlank="1" showInputMessage="1" showErrorMessage="1" sqref="H4:H7" xr:uid="{00000000-0002-0000-0100-000000000000}">
      <formula1>"MALE,FAMALE"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Detail1</vt:lpstr>
      <vt:lpstr>Sheet4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DINESHWAR</dc:creator>
  <cp:lastModifiedBy>Hello</cp:lastModifiedBy>
  <dcterms:created xsi:type="dcterms:W3CDTF">2026-06-05T06:36:24Z</dcterms:created>
  <dcterms:modified xsi:type="dcterms:W3CDTF">2026-09-28T04:42:16Z</dcterms:modified>
</cp:coreProperties>
</file>