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xcel projects\"/>
    </mc:Choice>
  </mc:AlternateContent>
  <xr:revisionPtr revIDLastSave="0" documentId="13_ncr:1_{FF1F494C-9427-43CF-AA50-E6AAEDEFAA3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5" sheetId="5" r:id="rId2"/>
    <sheet name="Sheet4" sheetId="4" r:id="rId3"/>
    <sheet name="Sheet2" sheetId="2" r:id="rId4"/>
    <sheet name="Sheet3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/>
  <c r="N2" i="1" a="1"/>
  <c r="N2" i="1" s="1"/>
  <c r="K3" i="1"/>
  <c r="K4" i="1" s="1"/>
  <c r="K5" i="1" s="1"/>
  <c r="K6" i="1" s="1"/>
  <c r="K7" i="1" s="1"/>
  <c r="K8" i="1" s="1"/>
  <c r="E11" i="2"/>
  <c r="D11" i="2"/>
  <c r="C11" i="2"/>
  <c r="B11" i="2"/>
  <c r="E9" i="1"/>
  <c r="K9" i="1" s="1"/>
  <c r="D9" i="1"/>
  <c r="C9" i="1"/>
  <c r="H3" i="1" s="1"/>
  <c r="B9" i="1"/>
  <c r="N13" i="1" l="1"/>
  <c r="O9" i="1"/>
  <c r="N12" i="1"/>
  <c r="N14" i="1"/>
  <c r="N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<sst xmlns="http://schemas.openxmlformats.org/spreadsheetml/2006/main" count="79" uniqueCount="35">
  <si>
    <t>Regin</t>
  </si>
  <si>
    <t>1 Sales</t>
  </si>
  <si>
    <t>2 Sales</t>
  </si>
  <si>
    <t>3 Sales</t>
  </si>
  <si>
    <t>4 Sales</t>
  </si>
  <si>
    <t>5 Sales</t>
  </si>
  <si>
    <t>6 Sales</t>
  </si>
  <si>
    <t>South</t>
  </si>
  <si>
    <t>West</t>
  </si>
  <si>
    <t>East</t>
  </si>
  <si>
    <t>Total</t>
  </si>
  <si>
    <t>North</t>
  </si>
  <si>
    <t>HLOOKUP(Horizontal wise Search)</t>
  </si>
  <si>
    <t>east</t>
  </si>
  <si>
    <t>south</t>
  </si>
  <si>
    <t>NOTH</t>
  </si>
  <si>
    <t>TOTAL</t>
  </si>
  <si>
    <t>Row Labels</t>
  </si>
  <si>
    <t>Grand Total</t>
  </si>
  <si>
    <t>Sum of West</t>
  </si>
  <si>
    <t>Name</t>
  </si>
  <si>
    <t>age</t>
  </si>
  <si>
    <t>city</t>
  </si>
  <si>
    <t>rahul</t>
  </si>
  <si>
    <t>sonny</t>
  </si>
  <si>
    <t>rames</t>
  </si>
  <si>
    <t>mathur</t>
  </si>
  <si>
    <t>mohan</t>
  </si>
  <si>
    <t>ranchi</t>
  </si>
  <si>
    <t>patna</t>
  </si>
  <si>
    <t>tata</t>
  </si>
  <si>
    <t>bokaro</t>
  </si>
  <si>
    <t>danbad</t>
  </si>
  <si>
    <t>HLOOKUP Used below</t>
  </si>
  <si>
    <t xml:space="preserve"> Hlookup used 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</si>
</sst>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Agency FB"/>
      <family val="2"/>
    </font>
    <font>
      <b/>
      <sz val="14"/>
      <color theme="0"/>
      <name val="Adobe Caslon Pro"/>
      <family val="1"/>
    </font>
    <font>
      <b/>
      <sz val="12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/>
    <xf numFmtId="0" fontId="1" fillId="0" borderId="2" xfId="0" applyFont="1" applyBorder="1"/>
    <xf numFmtId="0" fontId="1" fillId="4" borderId="2" xfId="0" applyFont="1" applyFill="1" applyBorder="1"/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0" fontId="0" fillId="2" borderId="2" xfId="0" applyFill="1" applyBorder="1"/>
    <xf numFmtId="0" fontId="0" fillId="5" borderId="2" xfId="0" applyFill="1" applyBorder="1"/>
    <xf numFmtId="0" fontId="1" fillId="0" borderId="2" xfId="0" applyFont="1" applyBorder="1" applyAlignment="1">
      <alignment horizontal="center"/>
    </xf>
    <xf numFmtId="0" fontId="1" fillId="5" borderId="2" xfId="0" applyFont="1" applyFill="1" applyBorder="1"/>
    <xf numFmtId="0" fontId="1" fillId="0" borderId="2" xfId="0" applyFont="1" applyBorder="1" applyAlignment="1">
      <alignment horizontal="left"/>
    </xf>
    <xf numFmtId="0" fontId="1" fillId="3" borderId="2" xfId="0" applyFont="1" applyFill="1" applyBorder="1"/>
    <xf numFmtId="0" fontId="1" fillId="7" borderId="2" xfId="0" applyFont="1" applyFill="1" applyBorder="1"/>
    <xf numFmtId="0" fontId="0" fillId="7" borderId="2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2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6" fillId="12" borderId="2" xfId="0" applyFont="1" applyFill="1" applyBorder="1"/>
    <xf numFmtId="0" fontId="6" fillId="12" borderId="3" xfId="0" applyFont="1" applyFill="1" applyBorder="1"/>
    <xf numFmtId="0" fontId="6" fillId="12" borderId="4" xfId="0" applyFont="1" applyFill="1" applyBorder="1"/>
    <xf numFmtId="0" fontId="0" fillId="0" borderId="2" xfId="0" applyBorder="1"/>
    <xf numFmtId="0" fontId="2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6" fillId="11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[hlookup.xlsx]Sheet4!PivotTable1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</c:pivotFmt>
      <c:pivotFmt>
        <c:idx val="16"/>
      </c:pivotFmt>
      <c:pivotFmt>
        <c:idx val="1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9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Sheet4!$B$4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D5-42C9-ABC4-E170EB7831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D5-42C9-ABC4-E170EB7831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D5-42C9-ABC4-E170EB7831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D5-42C9-ABC4-E170EB7831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D5-42C9-ABC4-E170EB78314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1D5-42C9-ABC4-E170EB78314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Sheet4!$A$5:$A$11</c:f>
              <c:strCache>
                <c:ptCount val="6"/>
                <c:pt idx="0">
                  <c:v>1 Sales</c:v>
                </c:pt>
                <c:pt idx="1">
                  <c:v>2 Sales</c:v>
                </c:pt>
                <c:pt idx="2">
                  <c:v>3 Sales</c:v>
                </c:pt>
                <c:pt idx="3">
                  <c:v>4 Sales</c:v>
                </c:pt>
                <c:pt idx="4">
                  <c:v>5 Sales</c:v>
                </c:pt>
                <c:pt idx="5">
                  <c:v>6 Sales</c:v>
                </c:pt>
              </c:strCache>
            </c:strRef>
          </c:cat>
          <c:val>
            <c:numRef>
              <c:f>Sheet4!$B$5:$B$11</c:f>
              <c:numCache>
                <c:formatCode>General</c:formatCode>
                <c:ptCount val="6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4-4ED9-9206-8A5CE8595D9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819150</xdr:colOff>
      <xdr:row>0</xdr:row>
      <xdr:rowOff>76200</xdr:rowOff>
    </xdr:from>
    <xdr:to>
      <xdr:col>11</xdr:col>
      <xdr:colOff>457200</xdr:colOff>
      <xdr:row>22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NESHWAR" refreshedDate="46283.042377546299" createdVersion="3" refreshedVersion="3" minRefreshableVersion="3" recordCount="6" xr:uid="{00000000-000A-0000-FFFF-FFFF04000000}">
  <cacheSource type="worksheet">
    <worksheetSource ref="A4:E10" sheet="Sheet2"/>
  </cacheSource>
  <cacheFields count="5">
    <cacheField name="Regin" numFmtId="0">
      <sharedItems count="6">
        <s v="1 Sales"/>
        <s v="2 Sales"/>
        <s v="3 Sales"/>
        <s v="4 Sales"/>
        <s v="5 Sales"/>
        <s v="6 Sales"/>
      </sharedItems>
    </cacheField>
    <cacheField name="North" numFmtId="0">
      <sharedItems containsSemiMixedTypes="0" containsString="0" containsNumber="1" containsInteger="1" minValue="400" maxValue="900" count="6">
        <n v="400"/>
        <n v="500"/>
        <n v="600"/>
        <n v="700"/>
        <n v="800"/>
        <n v="900"/>
      </sharedItems>
    </cacheField>
    <cacheField name="South" numFmtId="0">
      <sharedItems containsSemiMixedTypes="0" containsString="0" containsNumber="1" containsInteger="1" minValue="100" maxValue="350" count="6">
        <n v="100"/>
        <n v="150"/>
        <n v="200"/>
        <n v="250"/>
        <n v="300"/>
        <n v="350"/>
      </sharedItems>
    </cacheField>
    <cacheField name="West" numFmtId="0">
      <sharedItems containsSemiMixedTypes="0" containsString="0" containsNumber="1" containsInteger="1" minValue="50" maxValue="300"/>
    </cacheField>
    <cacheField name="East" numFmtId="0">
      <sharedItems containsSemiMixedTypes="0" containsString="0" containsNumber="1" containsInteger="1" minValue="20" maxValue="1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0"/>
    <x v="0"/>
    <x v="0"/>
    <n v="50"/>
    <n v="20"/>
  </r>
  <r>
    <x v="1"/>
    <x v="1"/>
    <x v="1"/>
    <n v="100"/>
    <n v="40"/>
  </r>
  <r>
    <x v="2"/>
    <x v="2"/>
    <x v="2"/>
    <n v="150"/>
    <n v="60"/>
  </r>
  <r>
    <x v="3"/>
    <x v="3"/>
    <x v="3"/>
    <n v="200"/>
    <n v="80"/>
  </r>
  <r>
    <x v="4"/>
    <x v="4"/>
    <x v="4"/>
    <n v="250"/>
    <n v="100"/>
  </r>
  <r>
    <x v="5"/>
    <x v="5"/>
    <x v="5"/>
    <n v="300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showCalcMbrs="0" useAutoFormatting="1" itemPrintTitles="1" createdVersion="3" indent="0" outline="1" outlineData="1" multipleFieldFilters="0" chartFormat="3">
  <location ref="A4:B11" firstHeaderRow="1" firstDataRow="1" firstDataCol="1"/>
  <pivotFields count="5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West" fld="3" baseField="0" baseItem="0"/>
  </dataFields>
  <chartFormats count="7">
    <chartFormat chart="0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2" totalsRowShown="0">
  <autoFilter ref="A1:E2" xr:uid="{00000000-0009-0000-0100-000001000000}"/>
  <tableColumns count="5">
    <tableColumn id="1" xr3:uid="{00000000-0010-0000-0000-000001000000}" name="Regin"/>
    <tableColumn id="2" xr3:uid="{00000000-0010-0000-0000-000002000000}" name="North"/>
    <tableColumn id="3" xr3:uid="{00000000-0010-0000-0000-000003000000}" name="South"/>
    <tableColumn id="4" xr3:uid="{00000000-0010-0000-0000-000004000000}" name="West"/>
    <tableColumn id="5" xr3:uid="{00000000-0010-0000-0000-000005000000}" name="Ea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"/>
  <sheetViews>
    <sheetView tabSelected="1" topLeftCell="A7" workbookViewId="0">
      <selection activeCell="F21" sqref="A1:XFD1048576"/>
    </sheetView>
  </sheetViews>
  <sheetFormatPr defaultRowHeight="15" x14ac:dyDescent="0.25"/>
  <cols>
    <col min="15" max="15" width="8.5703125" customWidth="1"/>
    <col min="16" max="16" width="9.140625" customWidth="1"/>
  </cols>
  <sheetData>
    <row r="1" spans="1:20" ht="21" x14ac:dyDescent="0.35">
      <c r="A1" s="26" t="s">
        <v>12</v>
      </c>
      <c r="B1" s="27"/>
      <c r="C1" s="27"/>
      <c r="D1" s="27"/>
      <c r="E1" s="27"/>
    </row>
    <row r="2" spans="1:20" ht="15.75" x14ac:dyDescent="0.25">
      <c r="A2" s="1" t="s">
        <v>0</v>
      </c>
      <c r="B2" s="1" t="s">
        <v>11</v>
      </c>
      <c r="C2" s="1" t="s">
        <v>7</v>
      </c>
      <c r="D2" s="1" t="s">
        <v>8</v>
      </c>
      <c r="E2" s="16" t="s">
        <v>9</v>
      </c>
      <c r="G2" s="1" t="s">
        <v>0</v>
      </c>
      <c r="H2" s="2" t="s">
        <v>14</v>
      </c>
      <c r="J2" s="6" t="s">
        <v>0</v>
      </c>
      <c r="K2" s="8" t="s">
        <v>13</v>
      </c>
      <c r="N2" s="19" t="str" cm="1">
        <f t="array" ref="N2:T6">TRANSPOSE(A2:E8)</f>
        <v>Regin</v>
      </c>
      <c r="O2" s="21" t="str">
        <v>1 Sales</v>
      </c>
      <c r="P2" s="21" t="str">
        <v>2 Sales</v>
      </c>
      <c r="Q2" s="21" t="str">
        <v>3 Sales</v>
      </c>
      <c r="R2" s="21" t="str">
        <v>4 Sales</v>
      </c>
      <c r="S2" s="21" t="str">
        <v>5 Sales</v>
      </c>
      <c r="T2" s="21" t="str">
        <v>6 Sales</v>
      </c>
    </row>
    <row r="3" spans="1:20" ht="15.75" x14ac:dyDescent="0.25">
      <c r="A3" s="4" t="s">
        <v>1</v>
      </c>
      <c r="B3" s="5">
        <v>400</v>
      </c>
      <c r="C3" s="5">
        <v>100</v>
      </c>
      <c r="D3" s="5">
        <v>50</v>
      </c>
      <c r="E3" s="5">
        <v>20</v>
      </c>
      <c r="G3" s="3" t="s">
        <v>10</v>
      </c>
      <c r="H3" s="10">
        <f>IFERROR(HLOOKUP(H2,A2:E9,8,0),"")</f>
        <v>1350</v>
      </c>
      <c r="J3" s="7" t="s">
        <v>1</v>
      </c>
      <c r="K3" s="20">
        <f>HLOOKUP(K2,A2:E9,2,0)</f>
        <v>20</v>
      </c>
      <c r="N3" s="19" t="str">
        <v>North</v>
      </c>
      <c r="O3" s="21">
        <v>400</v>
      </c>
      <c r="P3" s="21">
        <v>500</v>
      </c>
      <c r="Q3" s="21">
        <v>600</v>
      </c>
      <c r="R3" s="21">
        <v>700</v>
      </c>
      <c r="S3" s="21">
        <v>800</v>
      </c>
      <c r="T3" s="21">
        <v>900</v>
      </c>
    </row>
    <row r="4" spans="1:20" ht="15.75" x14ac:dyDescent="0.25">
      <c r="A4" s="4" t="s">
        <v>2</v>
      </c>
      <c r="B4" s="5">
        <v>500</v>
      </c>
      <c r="C4" s="5">
        <v>150</v>
      </c>
      <c r="D4" s="5">
        <v>100</v>
      </c>
      <c r="E4" s="5">
        <v>40</v>
      </c>
      <c r="J4" s="7" t="s">
        <v>2</v>
      </c>
      <c r="K4" s="20">
        <f t="shared" ref="K4:K8" si="0">HLOOKUP(K3,A3:E10,2,0)</f>
        <v>40</v>
      </c>
      <c r="N4" s="19" t="str">
        <v>South</v>
      </c>
      <c r="O4" s="21">
        <v>100</v>
      </c>
      <c r="P4" s="21">
        <v>150</v>
      </c>
      <c r="Q4" s="21">
        <v>200</v>
      </c>
      <c r="R4" s="21">
        <v>250</v>
      </c>
      <c r="S4" s="21">
        <v>300</v>
      </c>
      <c r="T4" s="21">
        <v>350</v>
      </c>
    </row>
    <row r="5" spans="1:20" ht="15.75" x14ac:dyDescent="0.25">
      <c r="A5" s="4" t="s">
        <v>3</v>
      </c>
      <c r="B5" s="5">
        <v>600</v>
      </c>
      <c r="C5" s="5">
        <v>200</v>
      </c>
      <c r="D5" s="5">
        <v>150</v>
      </c>
      <c r="E5" s="5">
        <v>60</v>
      </c>
      <c r="J5" s="7" t="s">
        <v>3</v>
      </c>
      <c r="K5" s="20">
        <f t="shared" si="0"/>
        <v>60</v>
      </c>
      <c r="N5" s="19" t="str">
        <v>West</v>
      </c>
      <c r="O5" s="21">
        <v>50</v>
      </c>
      <c r="P5" s="21">
        <v>100</v>
      </c>
      <c r="Q5" s="21">
        <v>150</v>
      </c>
      <c r="R5" s="21">
        <v>200</v>
      </c>
      <c r="S5" s="21">
        <v>250</v>
      </c>
      <c r="T5" s="21">
        <v>300</v>
      </c>
    </row>
    <row r="6" spans="1:20" ht="15.75" x14ac:dyDescent="0.25">
      <c r="A6" s="4" t="s">
        <v>4</v>
      </c>
      <c r="B6" s="5">
        <v>700</v>
      </c>
      <c r="C6" s="5">
        <v>250</v>
      </c>
      <c r="D6" s="5">
        <v>200</v>
      </c>
      <c r="E6" s="5">
        <v>80</v>
      </c>
      <c r="J6" s="7" t="s">
        <v>4</v>
      </c>
      <c r="K6" s="20">
        <f t="shared" si="0"/>
        <v>80</v>
      </c>
      <c r="N6" s="19" t="str">
        <v>East</v>
      </c>
      <c r="O6" s="21">
        <v>20</v>
      </c>
      <c r="P6" s="21">
        <v>40</v>
      </c>
      <c r="Q6" s="21">
        <v>60</v>
      </c>
      <c r="R6" s="21">
        <v>80</v>
      </c>
      <c r="S6" s="21">
        <v>100</v>
      </c>
      <c r="T6" s="21">
        <v>120</v>
      </c>
    </row>
    <row r="7" spans="1:20" x14ac:dyDescent="0.25">
      <c r="A7" s="4" t="s">
        <v>5</v>
      </c>
      <c r="B7" s="5">
        <v>800</v>
      </c>
      <c r="C7" s="5">
        <v>300</v>
      </c>
      <c r="D7" s="5">
        <v>250</v>
      </c>
      <c r="E7" s="5">
        <v>100</v>
      </c>
      <c r="J7" s="7" t="s">
        <v>5</v>
      </c>
      <c r="K7" s="20">
        <f t="shared" si="0"/>
        <v>100</v>
      </c>
    </row>
    <row r="8" spans="1:20" ht="15.75" x14ac:dyDescent="0.25">
      <c r="A8" s="4" t="s">
        <v>6</v>
      </c>
      <c r="B8" s="5">
        <v>900</v>
      </c>
      <c r="C8" s="5">
        <v>350</v>
      </c>
      <c r="D8" s="5">
        <v>300</v>
      </c>
      <c r="E8" s="5">
        <v>120</v>
      </c>
      <c r="J8" s="7" t="s">
        <v>6</v>
      </c>
      <c r="K8" s="20">
        <f t="shared" si="0"/>
        <v>120</v>
      </c>
      <c r="N8" s="29" t="s">
        <v>33</v>
      </c>
      <c r="O8" s="29"/>
      <c r="P8" s="29"/>
      <c r="Q8" s="29"/>
    </row>
    <row r="9" spans="1:20" x14ac:dyDescent="0.25">
      <c r="A9" s="11" t="s">
        <v>10</v>
      </c>
      <c r="B9" s="8">
        <f>B3+B4+B5+B6+B7+B8</f>
        <v>3900</v>
      </c>
      <c r="C9" s="8">
        <f>C3+C4+C5+C6+C7+C8</f>
        <v>1350</v>
      </c>
      <c r="D9" s="8">
        <f>D3+D4+D5+D6+D7+D8</f>
        <v>1050</v>
      </c>
      <c r="E9" s="8">
        <f>E3+E4+E5+E6+E7+E8</f>
        <v>420</v>
      </c>
      <c r="J9" s="9" t="s">
        <v>10</v>
      </c>
      <c r="K9" s="8">
        <f>HLOOKUP(K2,A2:E9,8,0)</f>
        <v>420</v>
      </c>
      <c r="N9" s="25" t="s">
        <v>4</v>
      </c>
      <c r="O9" s="25">
        <f>HLOOKUP(N9,O2:T6,3,)</f>
        <v>250</v>
      </c>
      <c r="P9" s="25"/>
      <c r="Q9" s="25"/>
    </row>
    <row r="10" spans="1:20" ht="15.75" x14ac:dyDescent="0.25">
      <c r="M10" s="23" t="s">
        <v>0</v>
      </c>
      <c r="N10" t="s">
        <v>3</v>
      </c>
    </row>
    <row r="11" spans="1:20" ht="15.75" x14ac:dyDescent="0.25">
      <c r="M11" s="22" t="s">
        <v>11</v>
      </c>
      <c r="N11" s="20">
        <f>HLOOKUP($N$10,$O$2:$T$6,ROW(O2),0)</f>
        <v>600</v>
      </c>
    </row>
    <row r="12" spans="1:20" ht="15.75" x14ac:dyDescent="0.25">
      <c r="M12" s="22" t="s">
        <v>7</v>
      </c>
      <c r="N12" s="20">
        <f t="shared" ref="N12:N14" si="1">HLOOKUP($N$10,$O$2:$T$6,ROW(O3),0)</f>
        <v>200</v>
      </c>
    </row>
    <row r="13" spans="1:20" ht="19.5" x14ac:dyDescent="0.25">
      <c r="A13" s="17" t="s">
        <v>20</v>
      </c>
      <c r="B13" s="8" t="s">
        <v>23</v>
      </c>
      <c r="C13" s="8" t="s">
        <v>24</v>
      </c>
      <c r="D13" s="8" t="s">
        <v>25</v>
      </c>
      <c r="E13" s="8" t="s">
        <v>26</v>
      </c>
      <c r="F13" s="8" t="s">
        <v>27</v>
      </c>
      <c r="M13" s="22" t="s">
        <v>8</v>
      </c>
      <c r="N13" s="20">
        <f t="shared" si="1"/>
        <v>150</v>
      </c>
    </row>
    <row r="14" spans="1:20" ht="19.5" x14ac:dyDescent="0.25">
      <c r="A14" s="17" t="s">
        <v>21</v>
      </c>
      <c r="B14" s="8">
        <v>34</v>
      </c>
      <c r="C14" s="8">
        <v>67</v>
      </c>
      <c r="D14" s="8">
        <v>35</v>
      </c>
      <c r="E14" s="8">
        <v>80</v>
      </c>
      <c r="F14" s="8">
        <v>26</v>
      </c>
      <c r="M14" s="22" t="s">
        <v>9</v>
      </c>
      <c r="N14" s="20">
        <f t="shared" si="1"/>
        <v>60</v>
      </c>
    </row>
    <row r="15" spans="1:20" ht="19.5" x14ac:dyDescent="0.25">
      <c r="A15" s="17" t="s">
        <v>22</v>
      </c>
      <c r="B15" s="8" t="s">
        <v>28</v>
      </c>
      <c r="C15" s="8" t="s">
        <v>29</v>
      </c>
      <c r="D15" s="8" t="s">
        <v>30</v>
      </c>
      <c r="E15" s="8" t="s">
        <v>31</v>
      </c>
      <c r="F15" s="8" t="s">
        <v>32</v>
      </c>
      <c r="M15" s="24"/>
    </row>
    <row r="18" spans="1:4" ht="24.75" x14ac:dyDescent="0.7">
      <c r="B18" s="28" t="s">
        <v>34</v>
      </c>
      <c r="C18" s="28"/>
      <c r="D18" s="28"/>
    </row>
    <row r="19" spans="1:4" ht="19.5" x14ac:dyDescent="0.25">
      <c r="A19" s="18" t="s">
        <v>25</v>
      </c>
      <c r="B19">
        <f>HLOOKUP(A19,A13:F15,2,0)</f>
        <v>35</v>
      </c>
    </row>
  </sheetData>
  <mergeCells count="3">
    <mergeCell ref="A1:E1"/>
    <mergeCell ref="B18:D18"/>
    <mergeCell ref="N8:Q8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sqref="A1:E2"/>
    </sheetView>
  </sheetViews>
  <sheetFormatPr defaultRowHeight="15" x14ac:dyDescent="0.25"/>
  <sheetData>
    <row r="1" spans="1:5" x14ac:dyDescent="0.25">
      <c r="A1" t="s">
        <v>0</v>
      </c>
      <c r="B1" t="s">
        <v>11</v>
      </c>
      <c r="C1" t="s">
        <v>7</v>
      </c>
      <c r="D1" t="s">
        <v>8</v>
      </c>
      <c r="E1" t="s">
        <v>9</v>
      </c>
    </row>
    <row r="2" spans="1:5" x14ac:dyDescent="0.25">
      <c r="A2" t="s">
        <v>1</v>
      </c>
      <c r="B2">
        <v>400</v>
      </c>
      <c r="C2">
        <v>100</v>
      </c>
      <c r="D2">
        <v>50</v>
      </c>
      <c r="E2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B11"/>
  <sheetViews>
    <sheetView workbookViewId="0">
      <selection activeCell="M9" sqref="M9"/>
    </sheetView>
  </sheetViews>
  <sheetFormatPr defaultRowHeight="15" x14ac:dyDescent="0.25"/>
  <cols>
    <col min="1" max="1" width="13.140625" bestFit="1" customWidth="1"/>
    <col min="2" max="4" width="12.28515625" bestFit="1" customWidth="1"/>
    <col min="5" max="5" width="11.140625" customWidth="1"/>
    <col min="6" max="7" width="4" customWidth="1"/>
    <col min="8" max="8" width="11.28515625" bestFit="1" customWidth="1"/>
  </cols>
  <sheetData>
    <row r="4" spans="1:2" x14ac:dyDescent="0.25">
      <c r="A4" s="14" t="s">
        <v>17</v>
      </c>
      <c r="B4" t="s">
        <v>19</v>
      </c>
    </row>
    <row r="5" spans="1:2" x14ac:dyDescent="0.25">
      <c r="A5" s="15" t="s">
        <v>1</v>
      </c>
      <c r="B5">
        <v>50</v>
      </c>
    </row>
    <row r="6" spans="1:2" x14ac:dyDescent="0.25">
      <c r="A6" s="15" t="s">
        <v>2</v>
      </c>
      <c r="B6">
        <v>100</v>
      </c>
    </row>
    <row r="7" spans="1:2" x14ac:dyDescent="0.25">
      <c r="A7" s="15" t="s">
        <v>3</v>
      </c>
      <c r="B7">
        <v>150</v>
      </c>
    </row>
    <row r="8" spans="1:2" x14ac:dyDescent="0.25">
      <c r="A8" s="15" t="s">
        <v>4</v>
      </c>
      <c r="B8">
        <v>200</v>
      </c>
    </row>
    <row r="9" spans="1:2" x14ac:dyDescent="0.25">
      <c r="A9" s="15" t="s">
        <v>5</v>
      </c>
      <c r="B9">
        <v>250</v>
      </c>
    </row>
    <row r="10" spans="1:2" x14ac:dyDescent="0.25">
      <c r="A10" s="15" t="s">
        <v>6</v>
      </c>
      <c r="B10">
        <v>300</v>
      </c>
    </row>
    <row r="11" spans="1:2" x14ac:dyDescent="0.25">
      <c r="A11" s="15" t="s">
        <v>18</v>
      </c>
      <c r="B11">
        <v>1050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I11"/>
  <sheetViews>
    <sheetView workbookViewId="0">
      <selection activeCell="D8" sqref="D8"/>
    </sheetView>
  </sheetViews>
  <sheetFormatPr defaultRowHeight="15" x14ac:dyDescent="0.25"/>
  <sheetData>
    <row r="3" spans="1:9" ht="21" x14ac:dyDescent="0.35">
      <c r="A3" s="26" t="s">
        <v>12</v>
      </c>
      <c r="B3" s="27"/>
      <c r="C3" s="27"/>
      <c r="D3" s="27"/>
      <c r="E3" s="27"/>
      <c r="H3" s="1" t="s">
        <v>0</v>
      </c>
      <c r="I3" s="12" t="s">
        <v>15</v>
      </c>
    </row>
    <row r="4" spans="1:9" x14ac:dyDescent="0.25">
      <c r="A4" s="1" t="s">
        <v>0</v>
      </c>
      <c r="B4" s="1" t="s">
        <v>11</v>
      </c>
      <c r="C4" s="1" t="s">
        <v>7</v>
      </c>
      <c r="D4" s="1" t="s">
        <v>8</v>
      </c>
      <c r="E4" s="1" t="s">
        <v>9</v>
      </c>
      <c r="H4" s="4" t="s">
        <v>16</v>
      </c>
      <c r="I4" s="13"/>
    </row>
    <row r="5" spans="1:9" x14ac:dyDescent="0.25">
      <c r="A5" s="4" t="s">
        <v>1</v>
      </c>
      <c r="B5" s="5">
        <v>400</v>
      </c>
      <c r="C5" s="5">
        <v>100</v>
      </c>
      <c r="D5" s="5">
        <v>50</v>
      </c>
      <c r="E5" s="5">
        <v>20</v>
      </c>
    </row>
    <row r="6" spans="1:9" x14ac:dyDescent="0.25">
      <c r="A6" s="4" t="s">
        <v>2</v>
      </c>
      <c r="B6" s="5">
        <v>500</v>
      </c>
      <c r="C6" s="5">
        <v>150</v>
      </c>
      <c r="D6" s="5">
        <v>100</v>
      </c>
      <c r="E6" s="5">
        <v>40</v>
      </c>
    </row>
    <row r="7" spans="1:9" x14ac:dyDescent="0.25">
      <c r="A7" s="4" t="s">
        <v>3</v>
      </c>
      <c r="B7" s="5">
        <v>600</v>
      </c>
      <c r="C7" s="5">
        <v>200</v>
      </c>
      <c r="D7" s="5">
        <v>150</v>
      </c>
      <c r="E7" s="5">
        <v>60</v>
      </c>
    </row>
    <row r="8" spans="1:9" x14ac:dyDescent="0.25">
      <c r="A8" s="4" t="s">
        <v>4</v>
      </c>
      <c r="B8" s="5">
        <v>700</v>
      </c>
      <c r="C8" s="5">
        <v>250</v>
      </c>
      <c r="D8" s="5">
        <v>200</v>
      </c>
      <c r="E8" s="5">
        <v>80</v>
      </c>
    </row>
    <row r="9" spans="1:9" x14ac:dyDescent="0.25">
      <c r="A9" s="4" t="s">
        <v>5</v>
      </c>
      <c r="B9" s="5">
        <v>800</v>
      </c>
      <c r="C9" s="5">
        <v>300</v>
      </c>
      <c r="D9" s="5">
        <v>250</v>
      </c>
      <c r="E9" s="5">
        <v>100</v>
      </c>
    </row>
    <row r="10" spans="1:9" x14ac:dyDescent="0.25">
      <c r="A10" s="4" t="s">
        <v>6</v>
      </c>
      <c r="B10" s="5">
        <v>900</v>
      </c>
      <c r="C10" s="5">
        <v>350</v>
      </c>
      <c r="D10" s="5">
        <v>300</v>
      </c>
      <c r="E10" s="5">
        <v>120</v>
      </c>
    </row>
    <row r="11" spans="1:9" x14ac:dyDescent="0.25">
      <c r="A11" s="11" t="s">
        <v>10</v>
      </c>
      <c r="B11" s="8">
        <f>B5+B6+B7+B8+B9+B10</f>
        <v>3900</v>
      </c>
      <c r="C11" s="8">
        <f>C5+C6+C7+C8+C9+C10</f>
        <v>1350</v>
      </c>
      <c r="D11" s="8">
        <f>D5+D6+D7+D8+D9+D10</f>
        <v>1050</v>
      </c>
      <c r="E11" s="8">
        <f>E5+E6+E7+E8+E9+E10</f>
        <v>420</v>
      </c>
    </row>
  </sheetData>
  <mergeCells count="1">
    <mergeCell ref="A3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B3" sqref="B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Sheet5</vt:lpstr>
      <vt:lpstr>Sheet4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DINESHWAR</dc:creator>
  <cp:lastModifiedBy>DHAMAL OF TOTAL</cp:lastModifiedBy>
  <dcterms:created xsi:type="dcterms:W3CDTF">2026-08-24T05:15:26Z</dcterms:created>
  <dcterms:modified xsi:type="dcterms:W3CDTF">2026-10-03T11:19:26Z</dcterms:modified>
</cp:coreProperties>
</file>