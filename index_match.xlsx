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BE627AA7-2F47-4888-B721-FC26F61F2A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G13" i="1"/>
  <c r="H13" i="1" s="1"/>
  <c r="I13" i="1" s="1"/>
  <c r="G14" i="1"/>
  <c r="H14" i="1" s="1"/>
  <c r="I14" i="1" s="1"/>
  <c r="G15" i="1"/>
  <c r="H15" i="1"/>
  <c r="I15" i="1" s="1"/>
  <c r="G16" i="1"/>
  <c r="H16" i="1" s="1"/>
  <c r="I16" i="1" s="1"/>
  <c r="H12" i="1"/>
  <c r="I12" i="1" s="1"/>
  <c r="G12" i="1"/>
  <c r="G3" i="1"/>
  <c r="B17" i="1"/>
  <c r="B18" i="1"/>
  <c r="B19" i="1"/>
  <c r="B16" i="1"/>
  <c r="G6" i="1"/>
</calcChain>
</file>

<file path=xl/sharedStrings.xml><?xml version="1.0" encoding="utf-8"?>
<sst xmlns="http://schemas.openxmlformats.org/spreadsheetml/2006/main" count="40" uniqueCount="30">
  <si>
    <t>Product ID</t>
  </si>
  <si>
    <t>Product Name</t>
  </si>
  <si>
    <t>Seller Name</t>
  </si>
  <si>
    <t>Quntity   Sold</t>
  </si>
  <si>
    <t>Quntity Sold</t>
  </si>
  <si>
    <t>Laptop</t>
  </si>
  <si>
    <t>DINESHAR</t>
  </si>
  <si>
    <t>LCD Tv</t>
  </si>
  <si>
    <t xml:space="preserve">RADH </t>
  </si>
  <si>
    <t xml:space="preserve"> </t>
  </si>
  <si>
    <t>Mobile</t>
  </si>
  <si>
    <t>MNOJ</t>
  </si>
  <si>
    <t>Collur</t>
  </si>
  <si>
    <t>BINOD</t>
  </si>
  <si>
    <t>Printter</t>
  </si>
  <si>
    <t>SAMEE</t>
  </si>
  <si>
    <t>Freez</t>
  </si>
  <si>
    <t>MOHAN</t>
  </si>
  <si>
    <t>Scanner</t>
  </si>
  <si>
    <t>KRISH</t>
  </si>
  <si>
    <t>Keyboard</t>
  </si>
  <si>
    <t>Mouse</t>
  </si>
  <si>
    <t>PINKI</t>
  </si>
  <si>
    <t>Head phone</t>
  </si>
  <si>
    <t>MOHIT</t>
  </si>
  <si>
    <t>LAPTOP</t>
  </si>
  <si>
    <t xml:space="preserve">Vlookup(vertical wise Search) </t>
  </si>
  <si>
    <t>index and Match used for Search</t>
  </si>
  <si>
    <t>Seller name</t>
  </si>
  <si>
    <t>index get Throu Row and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</si>
</sst>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/>
    <xf numFmtId="0" fontId="2" fillId="3" borderId="1" xfId="0" applyFont="1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0" borderId="3" xfId="0" applyBorder="1" applyAlignment="1">
      <alignment horizontal="left"/>
    </xf>
    <xf numFmtId="0" fontId="0" fillId="3" borderId="4" xfId="0" applyFill="1" applyBorder="1"/>
    <xf numFmtId="0" fontId="0" fillId="0" borderId="3" xfId="0" applyBorder="1"/>
    <xf numFmtId="0" fontId="0" fillId="3" borderId="4" xfId="0" applyFill="1" applyBorder="1" applyAlignment="1">
      <alignment horizontal="left"/>
    </xf>
    <xf numFmtId="0" fontId="0" fillId="5" borderId="2" xfId="0" applyFill="1" applyBorder="1"/>
    <xf numFmtId="0" fontId="0" fillId="0" borderId="0" xfId="0" applyAlignment="1">
      <alignment horizontal="center"/>
    </xf>
    <xf numFmtId="0" fontId="4" fillId="5" borderId="2" xfId="0" applyFont="1" applyFill="1" applyBorder="1"/>
    <xf numFmtId="0" fontId="3" fillId="5" borderId="2" xfId="0" applyFont="1" applyFill="1" applyBorder="1"/>
    <xf numFmtId="0" fontId="6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0" fillId="0" borderId="2" xfId="0" applyBorder="1"/>
    <xf numFmtId="0" fontId="0" fillId="3" borderId="4" xfId="0" applyFill="1" applyBorder="1" applyAlignment="1"/>
    <xf numFmtId="0" fontId="0" fillId="3" borderId="5" xfId="0" applyFill="1" applyBorder="1" applyAlignment="1"/>
    <xf numFmtId="0" fontId="8" fillId="8" borderId="0" xfId="0" applyFont="1" applyFill="1" applyAlignment="1">
      <alignment horizontal="center"/>
    </xf>
    <xf numFmtId="0" fontId="7" fillId="7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N10" sqref="A1:XFD1048576"/>
    </sheetView>
  </sheetViews>
  <sheetFormatPr defaultRowHeight="15" x14ac:dyDescent="0.25"/>
  <cols>
    <col min="1" max="1" width="11.42578125" bestFit="1" customWidth="1"/>
    <col min="2" max="2" width="21.42578125" customWidth="1"/>
    <col min="3" max="3" width="12.140625" bestFit="1" customWidth="1"/>
    <col min="4" max="4" width="13.5703125" bestFit="1" customWidth="1"/>
    <col min="6" max="6" width="13.28515625" customWidth="1"/>
    <col min="7" max="7" width="15.5703125" customWidth="1"/>
    <col min="8" max="8" width="12" customWidth="1"/>
    <col min="9" max="9" width="15.28515625" customWidth="1"/>
  </cols>
  <sheetData>
    <row r="1" spans="1:15" ht="21" x14ac:dyDescent="0.35">
      <c r="A1" s="11"/>
      <c r="B1" s="12"/>
      <c r="C1" s="12"/>
      <c r="D1" s="12"/>
      <c r="F1" s="15" t="s">
        <v>26</v>
      </c>
      <c r="G1" s="16"/>
      <c r="H1" s="16"/>
      <c r="I1" s="16"/>
      <c r="K1" s="21" t="s">
        <v>29</v>
      </c>
      <c r="L1" s="21"/>
      <c r="M1" s="21"/>
      <c r="N1" s="21"/>
      <c r="O1" s="21"/>
    </row>
    <row r="2" spans="1:15" ht="15.75" x14ac:dyDescent="0.25">
      <c r="A2" s="1" t="s">
        <v>0</v>
      </c>
      <c r="B2" s="1" t="s">
        <v>1</v>
      </c>
      <c r="C2" s="1" t="s">
        <v>2</v>
      </c>
      <c r="D2" s="1" t="s">
        <v>3</v>
      </c>
      <c r="F2" s="2" t="s">
        <v>0</v>
      </c>
      <c r="G2" s="2" t="s">
        <v>4</v>
      </c>
      <c r="L2" t="str">
        <f>INDEX(A3:D12,3,3)</f>
        <v>MNOJ</v>
      </c>
    </row>
    <row r="3" spans="1:15" x14ac:dyDescent="0.25">
      <c r="A3" s="3">
        <v>101</v>
      </c>
      <c r="B3" s="4" t="s">
        <v>5</v>
      </c>
      <c r="C3" s="4" t="s">
        <v>6</v>
      </c>
      <c r="D3" s="3">
        <v>23</v>
      </c>
      <c r="F3" s="5">
        <v>105</v>
      </c>
      <c r="G3" s="5">
        <f>VLOOKUP(F3,A3:D12,4)</f>
        <v>59</v>
      </c>
    </row>
    <row r="4" spans="1:15" x14ac:dyDescent="0.25">
      <c r="A4" s="3">
        <v>102</v>
      </c>
      <c r="B4" s="4" t="s">
        <v>7</v>
      </c>
      <c r="C4" s="4" t="s">
        <v>8</v>
      </c>
      <c r="D4" s="3">
        <v>34</v>
      </c>
      <c r="G4" t="s">
        <v>9</v>
      </c>
    </row>
    <row r="5" spans="1:15" x14ac:dyDescent="0.25">
      <c r="A5" s="3">
        <v>103</v>
      </c>
      <c r="B5" s="4" t="s">
        <v>10</v>
      </c>
      <c r="C5" s="4" t="s">
        <v>11</v>
      </c>
      <c r="D5" s="3">
        <v>56</v>
      </c>
      <c r="F5" s="6" t="s">
        <v>1</v>
      </c>
      <c r="G5" s="6" t="s">
        <v>2</v>
      </c>
    </row>
    <row r="6" spans="1:15" x14ac:dyDescent="0.25">
      <c r="A6" s="3">
        <v>104</v>
      </c>
      <c r="B6" s="4" t="s">
        <v>12</v>
      </c>
      <c r="C6" s="4" t="s">
        <v>13</v>
      </c>
      <c r="D6" s="3">
        <v>45</v>
      </c>
      <c r="F6" s="9" t="s">
        <v>25</v>
      </c>
      <c r="G6" s="7">
        <f>VLOOKUP(F6,B3:D12,3,0)</f>
        <v>23</v>
      </c>
    </row>
    <row r="7" spans="1:15" x14ac:dyDescent="0.25">
      <c r="A7" s="3">
        <v>105</v>
      </c>
      <c r="B7" s="4" t="s">
        <v>14</v>
      </c>
      <c r="C7" s="4" t="s">
        <v>15</v>
      </c>
      <c r="D7" s="3">
        <v>59</v>
      </c>
    </row>
    <row r="8" spans="1:15" x14ac:dyDescent="0.25">
      <c r="A8" s="3">
        <v>106</v>
      </c>
      <c r="B8" s="4" t="s">
        <v>16</v>
      </c>
      <c r="C8" s="4" t="s">
        <v>17</v>
      </c>
      <c r="D8" s="3">
        <v>40</v>
      </c>
    </row>
    <row r="9" spans="1:15" x14ac:dyDescent="0.25">
      <c r="A9" s="3">
        <v>107</v>
      </c>
      <c r="B9" s="4" t="s">
        <v>18</v>
      </c>
      <c r="C9" s="4" t="s">
        <v>19</v>
      </c>
      <c r="D9" s="3">
        <v>12</v>
      </c>
    </row>
    <row r="10" spans="1:15" ht="18.75" x14ac:dyDescent="0.3">
      <c r="A10" s="3">
        <v>108</v>
      </c>
      <c r="B10" s="4" t="s">
        <v>20</v>
      </c>
      <c r="C10" s="4" t="s">
        <v>8</v>
      </c>
      <c r="D10" s="3">
        <v>27</v>
      </c>
      <c r="F10" s="22" t="s">
        <v>26</v>
      </c>
      <c r="G10" s="22"/>
      <c r="H10" s="22"/>
    </row>
    <row r="11" spans="1:15" x14ac:dyDescent="0.25">
      <c r="A11" s="3">
        <v>109</v>
      </c>
      <c r="B11" s="4" t="s">
        <v>21</v>
      </c>
      <c r="C11" s="4" t="s">
        <v>22</v>
      </c>
      <c r="D11" s="3">
        <v>68</v>
      </c>
      <c r="F11" s="8" t="s">
        <v>0</v>
      </c>
      <c r="G11" s="8" t="s">
        <v>1</v>
      </c>
      <c r="H11" s="19" t="s">
        <v>2</v>
      </c>
      <c r="I11" s="20" t="s">
        <v>4</v>
      </c>
    </row>
    <row r="12" spans="1:15" x14ac:dyDescent="0.25">
      <c r="A12" s="3">
        <v>110</v>
      </c>
      <c r="B12" s="4" t="s">
        <v>23</v>
      </c>
      <c r="C12" s="4" t="s">
        <v>24</v>
      </c>
      <c r="D12" s="3">
        <v>85</v>
      </c>
      <c r="F12" s="14">
        <v>101</v>
      </c>
      <c r="G12" s="18" t="str">
        <f>VLOOKUP(F12,A3:D12,2,0)</f>
        <v>Laptop</v>
      </c>
      <c r="H12" s="18" t="str">
        <f t="shared" ref="H12:I12" si="0">VLOOKUP(G12,B3:E12,2,0)</f>
        <v>DINESHAR</v>
      </c>
      <c r="I12" s="18">
        <f t="shared" si="0"/>
        <v>23</v>
      </c>
    </row>
    <row r="13" spans="1:15" x14ac:dyDescent="0.25">
      <c r="F13" s="14">
        <v>102</v>
      </c>
      <c r="G13" s="18" t="str">
        <f t="shared" ref="G13:G16" si="1">VLOOKUP(F13,A4:D13,2,0)</f>
        <v>LCD Tv</v>
      </c>
      <c r="H13" s="18" t="str">
        <f t="shared" ref="H13:H16" si="2">VLOOKUP(G13,B4:E13,2,0)</f>
        <v xml:space="preserve">RADH </v>
      </c>
      <c r="I13" s="18">
        <f t="shared" ref="I13:I16" si="3">VLOOKUP(H13,C4:F13,2,0)</f>
        <v>34</v>
      </c>
    </row>
    <row r="14" spans="1:15" ht="15.75" x14ac:dyDescent="0.25">
      <c r="A14" s="17" t="s">
        <v>27</v>
      </c>
      <c r="B14" s="17"/>
      <c r="F14" s="14">
        <v>103</v>
      </c>
      <c r="G14" s="18" t="str">
        <f t="shared" si="1"/>
        <v>Mobile</v>
      </c>
      <c r="H14" s="18" t="str">
        <f t="shared" si="2"/>
        <v>MNOJ</v>
      </c>
      <c r="I14" s="18">
        <f t="shared" si="3"/>
        <v>56</v>
      </c>
    </row>
    <row r="15" spans="1:15" ht="15.75" x14ac:dyDescent="0.25">
      <c r="A15" s="13" t="s">
        <v>0</v>
      </c>
      <c r="B15" s="13" t="s">
        <v>28</v>
      </c>
      <c r="F15" s="14">
        <v>104</v>
      </c>
      <c r="G15" s="18" t="str">
        <f t="shared" si="1"/>
        <v>Collur</v>
      </c>
      <c r="H15" s="18" t="str">
        <f t="shared" si="2"/>
        <v>BINOD</v>
      </c>
      <c r="I15" s="18">
        <f t="shared" si="3"/>
        <v>45</v>
      </c>
    </row>
    <row r="16" spans="1:15" x14ac:dyDescent="0.25">
      <c r="A16" s="14">
        <v>101</v>
      </c>
      <c r="B16" s="14" t="str">
        <f>INDEX(A3:D12,MATCH(A16,A3:A12,0),3)</f>
        <v>DINESHAR</v>
      </c>
      <c r="F16" s="14">
        <v>105</v>
      </c>
      <c r="G16" s="18" t="str">
        <f t="shared" si="1"/>
        <v>Printter</v>
      </c>
      <c r="H16" s="18" t="str">
        <f t="shared" si="2"/>
        <v>SAMEE</v>
      </c>
      <c r="I16" s="18">
        <f t="shared" si="3"/>
        <v>59</v>
      </c>
    </row>
    <row r="17" spans="1:5" x14ac:dyDescent="0.25">
      <c r="A17" s="14">
        <v>102</v>
      </c>
      <c r="B17" s="14" t="str">
        <f t="shared" ref="B17:B19" si="4">INDEX(A4:D13,MATCH(A17,A4:A13,0),3)</f>
        <v xml:space="preserve">RADH </v>
      </c>
      <c r="E17" s="10"/>
    </row>
    <row r="18" spans="1:5" x14ac:dyDescent="0.25">
      <c r="A18" s="14">
        <v>103</v>
      </c>
      <c r="B18" s="14" t="str">
        <f t="shared" si="4"/>
        <v>MNOJ</v>
      </c>
    </row>
    <row r="19" spans="1:5" x14ac:dyDescent="0.25">
      <c r="A19" s="14">
        <v>104</v>
      </c>
      <c r="B19" s="14" t="str">
        <f t="shared" si="4"/>
        <v>BINOD</v>
      </c>
    </row>
  </sheetData>
  <mergeCells count="4">
    <mergeCell ref="F1:I1"/>
    <mergeCell ref="A14:B14"/>
    <mergeCell ref="K1:O1"/>
    <mergeCell ref="F10:H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DHAMAL OF TOTAL</cp:lastModifiedBy>
  <dcterms:created xsi:type="dcterms:W3CDTF">2026-08-24T05:14:01Z</dcterms:created>
  <dcterms:modified xsi:type="dcterms:W3CDTF">2026-10-03T10:51:04Z</dcterms:modified>
</cp:coreProperties>
</file>