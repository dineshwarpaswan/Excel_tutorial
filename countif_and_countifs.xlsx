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9390" windowHeight="3690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Sheet1!$A$4:$E$15</definedName>
  </definedNames>
  <calcPr calcId="124519"/>
</workbook>
</file>

<file path=xl/calcChain.xml><?xml version="1.0" encoding="utf-8"?>
<calcChain xmlns="http://schemas.openxmlformats.org/spreadsheetml/2006/main">
  <c r="B21" i="2"/>
  <c r="B11"/>
  <c r="H16"/>
  <c r="H19"/>
  <c r="H18"/>
  <c r="H17"/>
  <c r="O5"/>
  <c r="O9"/>
  <c r="O8"/>
  <c r="O6"/>
  <c r="O4"/>
  <c r="G20" i="1"/>
  <c r="H4"/>
  <c r="O7" i="2"/>
  <c r="B13"/>
  <c r="B12"/>
  <c r="H14" i="1"/>
  <c r="H9"/>
</calcChain>
</file>

<file path=xl/sharedStrings.xml><?xml version="1.0" encoding="utf-8"?>
<sst xmlns="http://schemas.openxmlformats.org/spreadsheetml/2006/main" count="154" uniqueCount="41">
  <si>
    <t>Pro id</t>
  </si>
  <si>
    <t>PRODUCT NAME</t>
  </si>
  <si>
    <t>PRICE</t>
  </si>
  <si>
    <t>CITY NAME</t>
  </si>
  <si>
    <t>STATE</t>
  </si>
  <si>
    <t>MOBILE</t>
  </si>
  <si>
    <t>GAYA</t>
  </si>
  <si>
    <t>BIHAR</t>
  </si>
  <si>
    <t>CAR</t>
  </si>
  <si>
    <t>LAPTOP</t>
  </si>
  <si>
    <t>PATNA</t>
  </si>
  <si>
    <t>RANCHI</t>
  </si>
  <si>
    <t>JHARKHAND</t>
  </si>
  <si>
    <t>TATA</t>
  </si>
  <si>
    <t>BYK</t>
  </si>
  <si>
    <t>BOKARO</t>
  </si>
  <si>
    <t>TOTAl RECORDS</t>
  </si>
  <si>
    <t>CUNTIF USE FOR CITY</t>
  </si>
  <si>
    <t>CUNTIF USE FOR PRODUCT</t>
  </si>
  <si>
    <t>CUNTIF USE FOR STATE</t>
  </si>
  <si>
    <t>STATE NAME</t>
  </si>
  <si>
    <t xml:space="preserve">PRODUCT </t>
  </si>
  <si>
    <t>CUNTIFS USE FOR PRODUCT AND CITY</t>
  </si>
  <si>
    <t>A</t>
  </si>
  <si>
    <t>B</t>
  </si>
  <si>
    <t>C</t>
  </si>
  <si>
    <t>D</t>
  </si>
  <si>
    <t>TOTAL 500 COUNT</t>
  </si>
  <si>
    <t>TOTAL 700 COUNT</t>
  </si>
  <si>
    <t>TOTAL 400 COUNT</t>
  </si>
  <si>
    <t>TOTAL 250 COUNT</t>
  </si>
  <si>
    <t>TOTAL 300 COUNT</t>
  </si>
  <si>
    <t>TOTAL 450 COUNT</t>
  </si>
  <si>
    <t xml:space="preserve">COUNTIF furmula used for  Product name Search </t>
  </si>
  <si>
    <t>COUNTIFS formula used for Search with Count</t>
  </si>
  <si>
    <t>COUNT formula used  ROW value</t>
  </si>
  <si>
    <t>TOTAL A</t>
  </si>
  <si>
    <t>TOTAL B</t>
  </si>
  <si>
    <t>TOTAL C</t>
  </si>
  <si>
    <t>TOTAL D</t>
  </si>
  <si>
    <t>Used formula COUNTIF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</si>
</sst>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Arial Black"/>
      <family val="2"/>
    </font>
    <font>
      <sz val="12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0" xfId="0" applyFill="1"/>
    <xf numFmtId="0" fontId="4" fillId="2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1" fillId="0" borderId="1" xfId="0" applyFont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7" borderId="8" xfId="0" applyFon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1" fillId="9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20"/>
  <sheetViews>
    <sheetView workbookViewId="0">
      <selection activeCell="G24" sqref="G24"/>
    </sheetView>
  </sheetViews>
  <sheetFormatPr defaultRowHeight="15"/>
  <cols>
    <col min="2" max="2" width="18.85546875" bestFit="1" customWidth="1"/>
    <col min="4" max="4" width="13.140625" bestFit="1" customWidth="1"/>
    <col min="5" max="5" width="11.85546875" bestFit="1" customWidth="1"/>
    <col min="7" max="7" width="24" customWidth="1"/>
    <col min="11" max="11" width="13.85546875" customWidth="1"/>
    <col min="13" max="13" width="14.140625" customWidth="1"/>
    <col min="15" max="15" width="12.7109375" customWidth="1"/>
  </cols>
  <sheetData>
    <row r="2" spans="1:11" ht="19.5">
      <c r="G2" s="15" t="s">
        <v>17</v>
      </c>
      <c r="H2" s="15"/>
      <c r="I2" s="15"/>
    </row>
    <row r="3" spans="1:11" ht="15.7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G3" s="1" t="s">
        <v>3</v>
      </c>
      <c r="H3" s="14" t="s">
        <v>16</v>
      </c>
      <c r="I3" s="14"/>
    </row>
    <row r="4" spans="1:11">
      <c r="A4" s="4">
        <v>1</v>
      </c>
      <c r="B4" s="4" t="s">
        <v>5</v>
      </c>
      <c r="C4" s="4">
        <v>500</v>
      </c>
      <c r="D4" s="4" t="s">
        <v>6</v>
      </c>
      <c r="E4" s="4" t="s">
        <v>7</v>
      </c>
      <c r="G4" s="2" t="s">
        <v>11</v>
      </c>
      <c r="H4" s="12">
        <f>COUNTIF(D4:D16,G4)</f>
        <v>4</v>
      </c>
      <c r="I4" s="13"/>
    </row>
    <row r="5" spans="1:11">
      <c r="A5" s="4">
        <v>2</v>
      </c>
      <c r="B5" s="4" t="s">
        <v>8</v>
      </c>
      <c r="C5" s="4">
        <v>100</v>
      </c>
      <c r="D5" s="4" t="s">
        <v>11</v>
      </c>
      <c r="E5" s="4" t="s">
        <v>12</v>
      </c>
    </row>
    <row r="6" spans="1:11">
      <c r="A6" s="4">
        <v>3</v>
      </c>
      <c r="B6" s="4" t="s">
        <v>5</v>
      </c>
      <c r="C6" s="4">
        <v>600</v>
      </c>
      <c r="D6" s="4" t="s">
        <v>13</v>
      </c>
      <c r="E6" s="4" t="s">
        <v>12</v>
      </c>
      <c r="K6" s="5"/>
    </row>
    <row r="7" spans="1:11" ht="19.5">
      <c r="A7" s="4">
        <v>4</v>
      </c>
      <c r="B7" s="4" t="s">
        <v>8</v>
      </c>
      <c r="C7" s="4">
        <v>700</v>
      </c>
      <c r="D7" s="4" t="s">
        <v>6</v>
      </c>
      <c r="E7" s="4" t="s">
        <v>7</v>
      </c>
      <c r="G7" s="15" t="s">
        <v>18</v>
      </c>
      <c r="H7" s="15"/>
      <c r="I7" s="15"/>
    </row>
    <row r="8" spans="1:11" ht="15.75">
      <c r="A8" s="4">
        <v>5</v>
      </c>
      <c r="B8" s="4" t="s">
        <v>9</v>
      </c>
      <c r="C8" s="4">
        <v>400</v>
      </c>
      <c r="D8" s="4" t="s">
        <v>11</v>
      </c>
      <c r="E8" s="4" t="s">
        <v>12</v>
      </c>
      <c r="G8" s="1" t="s">
        <v>1</v>
      </c>
      <c r="H8" s="14" t="s">
        <v>16</v>
      </c>
      <c r="I8" s="14"/>
    </row>
    <row r="9" spans="1:11">
      <c r="A9" s="4">
        <v>6</v>
      </c>
      <c r="B9" s="4" t="s">
        <v>8</v>
      </c>
      <c r="C9" s="4">
        <v>250</v>
      </c>
      <c r="D9" s="4" t="s">
        <v>13</v>
      </c>
      <c r="E9" s="4" t="s">
        <v>12</v>
      </c>
      <c r="G9" s="2" t="s">
        <v>9</v>
      </c>
      <c r="H9" s="12">
        <f>COUNTIF(B4:B16,G9)</f>
        <v>4</v>
      </c>
      <c r="I9" s="13"/>
    </row>
    <row r="10" spans="1:11">
      <c r="A10" s="4">
        <v>7</v>
      </c>
      <c r="B10" s="4" t="s">
        <v>9</v>
      </c>
      <c r="C10" s="4">
        <v>300</v>
      </c>
      <c r="D10" s="4" t="s">
        <v>10</v>
      </c>
      <c r="E10" s="4" t="s">
        <v>7</v>
      </c>
    </row>
    <row r="11" spans="1:11">
      <c r="A11" s="4">
        <v>8</v>
      </c>
      <c r="B11" s="4" t="s">
        <v>5</v>
      </c>
      <c r="C11" s="4">
        <v>450</v>
      </c>
      <c r="D11" s="4" t="s">
        <v>11</v>
      </c>
      <c r="E11" s="4" t="s">
        <v>12</v>
      </c>
    </row>
    <row r="12" spans="1:11" ht="19.5">
      <c r="A12" s="4">
        <v>9</v>
      </c>
      <c r="B12" s="4" t="s">
        <v>9</v>
      </c>
      <c r="C12" s="4">
        <v>750</v>
      </c>
      <c r="D12" s="4" t="s">
        <v>10</v>
      </c>
      <c r="E12" s="4" t="s">
        <v>7</v>
      </c>
      <c r="G12" s="15" t="s">
        <v>19</v>
      </c>
      <c r="H12" s="15"/>
      <c r="I12" s="15"/>
    </row>
    <row r="13" spans="1:11" ht="15.75">
      <c r="A13" s="4">
        <v>10</v>
      </c>
      <c r="B13" s="4" t="s">
        <v>14</v>
      </c>
      <c r="C13" s="4">
        <v>2050</v>
      </c>
      <c r="D13" s="4" t="s">
        <v>15</v>
      </c>
      <c r="E13" s="4" t="s">
        <v>12</v>
      </c>
      <c r="G13" s="1" t="s">
        <v>20</v>
      </c>
      <c r="H13" s="14" t="s">
        <v>16</v>
      </c>
      <c r="I13" s="14"/>
    </row>
    <row r="14" spans="1:11">
      <c r="A14" s="4">
        <v>11</v>
      </c>
      <c r="B14" s="4" t="s">
        <v>8</v>
      </c>
      <c r="C14" s="4">
        <v>3500</v>
      </c>
      <c r="D14" s="4" t="s">
        <v>10</v>
      </c>
      <c r="E14" s="4" t="s">
        <v>7</v>
      </c>
      <c r="G14" s="2" t="s">
        <v>7</v>
      </c>
      <c r="H14" s="12">
        <f>COUNTIF(E4:E16,G14)</f>
        <v>6</v>
      </c>
      <c r="I14" s="13"/>
    </row>
    <row r="15" spans="1:11">
      <c r="A15" s="4">
        <v>12</v>
      </c>
      <c r="B15" s="4" t="s">
        <v>14</v>
      </c>
      <c r="C15" s="4">
        <v>2800</v>
      </c>
      <c r="D15" s="4" t="s">
        <v>11</v>
      </c>
      <c r="E15" s="4" t="s">
        <v>12</v>
      </c>
    </row>
    <row r="16" spans="1:11">
      <c r="A16" s="4">
        <v>13</v>
      </c>
      <c r="B16" s="4" t="s">
        <v>9</v>
      </c>
      <c r="C16" s="4">
        <v>200</v>
      </c>
      <c r="D16" s="4" t="s">
        <v>10</v>
      </c>
      <c r="E16" s="4" t="s">
        <v>7</v>
      </c>
    </row>
    <row r="18" spans="4:8" ht="19.5">
      <c r="D18" s="16" t="s">
        <v>22</v>
      </c>
      <c r="E18" s="16"/>
      <c r="F18" s="16"/>
      <c r="G18" s="16"/>
      <c r="H18" s="16"/>
    </row>
    <row r="19" spans="4:8" ht="15.75">
      <c r="D19" s="1" t="s">
        <v>21</v>
      </c>
      <c r="E19" s="14" t="s">
        <v>3</v>
      </c>
      <c r="F19" s="14"/>
      <c r="G19" s="14" t="s">
        <v>16</v>
      </c>
      <c r="H19" s="14"/>
    </row>
    <row r="20" spans="4:8">
      <c r="D20" s="3" t="s">
        <v>9</v>
      </c>
      <c r="E20" s="19" t="s">
        <v>10</v>
      </c>
      <c r="F20" s="19"/>
      <c r="G20" s="17">
        <f>COUNTIFS(B4:B16,D20,D4:D16,E20)</f>
        <v>3</v>
      </c>
      <c r="H20" s="18"/>
    </row>
  </sheetData>
  <sortState ref="A4:E15">
    <sortCondition ref="A4"/>
  </sortState>
  <mergeCells count="14">
    <mergeCell ref="G19:H19"/>
    <mergeCell ref="D18:H18"/>
    <mergeCell ref="G20:H20"/>
    <mergeCell ref="G12:I12"/>
    <mergeCell ref="H13:I13"/>
    <mergeCell ref="H14:I14"/>
    <mergeCell ref="E19:F19"/>
    <mergeCell ref="E20:F20"/>
    <mergeCell ref="H9:I9"/>
    <mergeCell ref="H3:I3"/>
    <mergeCell ref="H4:I4"/>
    <mergeCell ref="G2:I2"/>
    <mergeCell ref="G7:I7"/>
    <mergeCell ref="H8:I8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P21"/>
  <sheetViews>
    <sheetView tabSelected="1" workbookViewId="0">
      <selection activeCell="C24" sqref="A1:XFD1048576"/>
    </sheetView>
  </sheetViews>
  <sheetFormatPr defaultRowHeight="15"/>
  <cols>
    <col min="1" max="1" width="18.85546875" bestFit="1" customWidth="1"/>
    <col min="4" max="4" width="11.85546875" bestFit="1" customWidth="1"/>
    <col min="5" max="5" width="18" bestFit="1" customWidth="1"/>
    <col min="7" max="7" width="12.5703125" bestFit="1" customWidth="1"/>
    <col min="8" max="8" width="11.85546875" bestFit="1" customWidth="1"/>
    <col min="9" max="9" width="18" bestFit="1" customWidth="1"/>
    <col min="12" max="12" width="11.85546875" bestFit="1" customWidth="1"/>
    <col min="14" max="14" width="11.7109375" customWidth="1"/>
    <col min="15" max="15" width="12.28515625" customWidth="1"/>
  </cols>
  <sheetData>
    <row r="3" spans="1:16" ht="15.75">
      <c r="A3" s="6" t="s">
        <v>1</v>
      </c>
      <c r="B3" s="6" t="s">
        <v>2</v>
      </c>
      <c r="C3" s="6" t="s">
        <v>3</v>
      </c>
      <c r="D3" s="6" t="s">
        <v>4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1</v>
      </c>
      <c r="J3" s="6" t="s">
        <v>2</v>
      </c>
      <c r="K3" s="6" t="s">
        <v>3</v>
      </c>
      <c r="L3" s="6" t="s">
        <v>4</v>
      </c>
      <c r="M3" s="20" t="s">
        <v>35</v>
      </c>
      <c r="N3" s="21"/>
      <c r="O3" s="21"/>
      <c r="P3" s="21"/>
    </row>
    <row r="4" spans="1:16" ht="15.75">
      <c r="A4" s="7" t="s">
        <v>5</v>
      </c>
      <c r="B4" s="7">
        <v>500</v>
      </c>
      <c r="C4" s="7" t="s">
        <v>6</v>
      </c>
      <c r="D4" s="27" t="s">
        <v>5</v>
      </c>
      <c r="E4" s="7" t="s">
        <v>5</v>
      </c>
      <c r="F4" s="7">
        <v>500</v>
      </c>
      <c r="G4" s="7">
        <v>500</v>
      </c>
      <c r="H4" s="4" t="s">
        <v>9</v>
      </c>
      <c r="I4" s="7" t="s">
        <v>5</v>
      </c>
      <c r="J4" s="7">
        <v>500</v>
      </c>
      <c r="K4" s="4" t="s">
        <v>8</v>
      </c>
      <c r="L4" s="4" t="s">
        <v>5</v>
      </c>
      <c r="M4" s="22" t="s">
        <v>27</v>
      </c>
      <c r="N4" s="23"/>
      <c r="O4" s="8">
        <f>COUNT(B4:L4)</f>
        <v>4</v>
      </c>
    </row>
    <row r="5" spans="1:16">
      <c r="A5" s="7" t="s">
        <v>8</v>
      </c>
      <c r="B5" s="7">
        <v>700</v>
      </c>
      <c r="C5" s="4" t="s">
        <v>8</v>
      </c>
      <c r="D5" s="4" t="s">
        <v>7</v>
      </c>
      <c r="E5" s="7" t="s">
        <v>8</v>
      </c>
      <c r="F5" s="7">
        <v>700</v>
      </c>
      <c r="G5" s="7">
        <v>700</v>
      </c>
      <c r="H5" s="7">
        <v>700</v>
      </c>
      <c r="I5" s="7" t="s">
        <v>8</v>
      </c>
      <c r="J5" s="7">
        <v>700</v>
      </c>
      <c r="K5" s="7">
        <v>700</v>
      </c>
      <c r="L5" s="7">
        <v>700</v>
      </c>
      <c r="M5" s="22" t="s">
        <v>28</v>
      </c>
      <c r="N5" s="23"/>
      <c r="O5" s="8">
        <f>COUNT(B5:L5)</f>
        <v>7</v>
      </c>
    </row>
    <row r="6" spans="1:16">
      <c r="A6" s="7" t="s">
        <v>9</v>
      </c>
      <c r="B6" s="7">
        <v>400</v>
      </c>
      <c r="C6" s="4" t="s">
        <v>11</v>
      </c>
      <c r="D6" s="7">
        <v>400</v>
      </c>
      <c r="E6" s="7" t="s">
        <v>9</v>
      </c>
      <c r="F6" s="7">
        <v>400</v>
      </c>
      <c r="G6" s="4" t="s">
        <v>9</v>
      </c>
      <c r="H6" s="7">
        <v>400</v>
      </c>
      <c r="I6" s="7" t="s">
        <v>9</v>
      </c>
      <c r="J6" s="7">
        <v>400</v>
      </c>
      <c r="K6" s="7" t="s">
        <v>11</v>
      </c>
      <c r="L6" s="7">
        <v>400</v>
      </c>
      <c r="M6" s="22" t="s">
        <v>29</v>
      </c>
      <c r="N6" s="23"/>
      <c r="O6" s="8">
        <f>COUNT(B6:L6)</f>
        <v>6</v>
      </c>
    </row>
    <row r="7" spans="1:16">
      <c r="A7" s="7" t="s">
        <v>8</v>
      </c>
      <c r="B7" s="7">
        <v>250</v>
      </c>
      <c r="C7" s="7" t="s">
        <v>13</v>
      </c>
      <c r="D7" s="4" t="s">
        <v>8</v>
      </c>
      <c r="E7" s="7" t="s">
        <v>8</v>
      </c>
      <c r="F7" s="7">
        <v>250</v>
      </c>
      <c r="G7" s="7" t="s">
        <v>13</v>
      </c>
      <c r="H7" s="4" t="s">
        <v>8</v>
      </c>
      <c r="I7" s="7" t="s">
        <v>8</v>
      </c>
      <c r="J7" s="7">
        <v>250</v>
      </c>
      <c r="K7" s="7" t="s">
        <v>13</v>
      </c>
      <c r="L7" s="7" t="s">
        <v>12</v>
      </c>
      <c r="M7" s="22" t="s">
        <v>30</v>
      </c>
      <c r="N7" s="23"/>
      <c r="O7" s="8">
        <f t="shared" ref="O4:O9" si="0">COUNT(B7,F7,J7)</f>
        <v>3</v>
      </c>
    </row>
    <row r="8" spans="1:16">
      <c r="A8" s="7" t="s">
        <v>9</v>
      </c>
      <c r="B8" s="7">
        <v>300</v>
      </c>
      <c r="C8" s="4" t="s">
        <v>9</v>
      </c>
      <c r="D8" s="7">
        <v>300</v>
      </c>
      <c r="E8" s="7" t="s">
        <v>9</v>
      </c>
      <c r="F8" s="7">
        <v>300</v>
      </c>
      <c r="G8" s="4" t="s">
        <v>8</v>
      </c>
      <c r="H8" s="7">
        <v>300</v>
      </c>
      <c r="I8" s="7" t="s">
        <v>9</v>
      </c>
      <c r="J8" s="7">
        <v>300</v>
      </c>
      <c r="K8" s="7" t="s">
        <v>10</v>
      </c>
      <c r="L8" s="7">
        <v>300</v>
      </c>
      <c r="M8" s="22" t="s">
        <v>31</v>
      </c>
      <c r="N8" s="23"/>
      <c r="O8" s="8">
        <f>COUNT(B8,D8,F8,H8,J8,L8)</f>
        <v>6</v>
      </c>
    </row>
    <row r="9" spans="1:16">
      <c r="A9" s="7" t="s">
        <v>5</v>
      </c>
      <c r="B9" s="7">
        <v>450</v>
      </c>
      <c r="C9" s="7">
        <v>450</v>
      </c>
      <c r="D9" s="7">
        <v>450</v>
      </c>
      <c r="E9" s="7" t="s">
        <v>5</v>
      </c>
      <c r="F9" s="7">
        <v>450</v>
      </c>
      <c r="G9" s="7" t="s">
        <v>11</v>
      </c>
      <c r="H9" s="7">
        <v>450</v>
      </c>
      <c r="I9" s="7" t="s">
        <v>5</v>
      </c>
      <c r="J9" s="7">
        <v>450</v>
      </c>
      <c r="K9" s="7">
        <v>450</v>
      </c>
      <c r="L9" s="7">
        <v>450</v>
      </c>
      <c r="M9" s="22" t="s">
        <v>32</v>
      </c>
      <c r="N9" s="23"/>
      <c r="O9" s="8">
        <f>COUNT(B9:L9)</f>
        <v>8</v>
      </c>
    </row>
    <row r="10" spans="1:16">
      <c r="A10" s="25" t="s">
        <v>33</v>
      </c>
      <c r="B10" s="26"/>
      <c r="C10" s="26"/>
      <c r="D10" s="26"/>
    </row>
    <row r="11" spans="1:16">
      <c r="A11" s="2" t="s">
        <v>8</v>
      </c>
      <c r="B11" s="9">
        <f>COUNTIF(A4:L9,A11)</f>
        <v>11</v>
      </c>
    </row>
    <row r="12" spans="1:16">
      <c r="A12" s="2" t="s">
        <v>9</v>
      </c>
      <c r="B12" s="9">
        <f>COUNTIF(A4:I9,A12)</f>
        <v>9</v>
      </c>
    </row>
    <row r="13" spans="1:16">
      <c r="A13" s="2" t="s">
        <v>5</v>
      </c>
      <c r="B13" s="9">
        <f>COUNTIF(A4:L9,A13)</f>
        <v>8</v>
      </c>
    </row>
    <row r="14" spans="1:16">
      <c r="A14" s="11"/>
    </row>
    <row r="15" spans="1:16">
      <c r="G15" s="30" t="s">
        <v>40</v>
      </c>
      <c r="H15" s="31"/>
    </row>
    <row r="16" spans="1:16">
      <c r="A16" s="28" t="s">
        <v>23</v>
      </c>
      <c r="B16" s="29" t="s">
        <v>23</v>
      </c>
      <c r="C16" s="29" t="s">
        <v>24</v>
      </c>
      <c r="D16" s="29" t="s">
        <v>23</v>
      </c>
      <c r="E16" s="29" t="s">
        <v>26</v>
      </c>
      <c r="F16" s="29" t="s">
        <v>25</v>
      </c>
      <c r="G16" s="10" t="s">
        <v>36</v>
      </c>
      <c r="H16" s="10">
        <f>COUNTIF(A16:F16,"A")</f>
        <v>3</v>
      </c>
    </row>
    <row r="17" spans="1:8">
      <c r="A17" s="28" t="s">
        <v>24</v>
      </c>
      <c r="B17" s="29" t="s">
        <v>24</v>
      </c>
      <c r="C17" s="29" t="s">
        <v>25</v>
      </c>
      <c r="D17" s="29" t="s">
        <v>26</v>
      </c>
      <c r="E17" s="29" t="s">
        <v>24</v>
      </c>
      <c r="F17" s="29" t="s">
        <v>24</v>
      </c>
      <c r="G17" s="10" t="s">
        <v>37</v>
      </c>
      <c r="H17" s="10">
        <f>COUNTIF(A17:F17,"B")</f>
        <v>4</v>
      </c>
    </row>
    <row r="18" spans="1:8">
      <c r="A18" s="28" t="s">
        <v>25</v>
      </c>
      <c r="B18" s="29" t="s">
        <v>25</v>
      </c>
      <c r="C18" s="29" t="s">
        <v>26</v>
      </c>
      <c r="D18" s="29" t="s">
        <v>23</v>
      </c>
      <c r="E18" s="29" t="s">
        <v>23</v>
      </c>
      <c r="F18" s="29" t="s">
        <v>23</v>
      </c>
      <c r="G18" s="10" t="s">
        <v>38</v>
      </c>
      <c r="H18" s="10">
        <f>COUNTIF(A18:F18,"C")</f>
        <v>2</v>
      </c>
    </row>
    <row r="19" spans="1:8">
      <c r="A19" s="28" t="s">
        <v>26</v>
      </c>
      <c r="B19" s="29" t="s">
        <v>26</v>
      </c>
      <c r="C19" s="29" t="s">
        <v>23</v>
      </c>
      <c r="D19" s="29" t="s">
        <v>24</v>
      </c>
      <c r="E19" s="29" t="s">
        <v>24</v>
      </c>
      <c r="F19" s="29" t="s">
        <v>24</v>
      </c>
      <c r="G19" s="10" t="s">
        <v>39</v>
      </c>
      <c r="H19" s="10">
        <f>COUNTIF(A19:F19,"D")</f>
        <v>2</v>
      </c>
    </row>
    <row r="20" spans="1:8" ht="15.75">
      <c r="A20" s="20" t="s">
        <v>34</v>
      </c>
      <c r="B20" s="21"/>
      <c r="C20" s="21"/>
      <c r="D20" s="21"/>
    </row>
    <row r="21" spans="1:8">
      <c r="A21" s="3" t="s">
        <v>23</v>
      </c>
      <c r="B21" s="24">
        <f>COUNTIFS(A16:F19,A21)</f>
        <v>7</v>
      </c>
    </row>
  </sheetData>
  <mergeCells count="10">
    <mergeCell ref="A20:D20"/>
    <mergeCell ref="A10:D10"/>
    <mergeCell ref="G15:H15"/>
    <mergeCell ref="M3:P3"/>
    <mergeCell ref="M4:N4"/>
    <mergeCell ref="M6:N6"/>
    <mergeCell ref="M8:N8"/>
    <mergeCell ref="M9:N9"/>
    <mergeCell ref="M7:N7"/>
    <mergeCell ref="M5:N5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DINESHWAR</dc:creator>
  <cp:lastModifiedBy>DINESHWAR</cp:lastModifiedBy>
  <dcterms:created xsi:type="dcterms:W3CDTF">2026-08-24T04:56:21Z</dcterms:created>
  <dcterms:modified xsi:type="dcterms:W3CDTF">2026-08-24T04:52:38Z</dcterms:modified>
</cp:coreProperties>
</file>