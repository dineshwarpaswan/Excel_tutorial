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536C252-6EB1-40C3-8683-ED3FA0251182}" xr6:coauthVersionLast="47" xr6:coauthVersionMax="47" xr10:uidLastSave="{00000000-0000-0000-0000-000000000000}"/>
  <bookViews>
    <workbookView xWindow="-120" yWindow="-120" windowWidth="20730" windowHeight="11160" activeTab="2" xr2:uid="{EB632121-56D1-41D4-BA54-C3BA2F205C1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5" l="1"/>
  <c r="G26" i="5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3" i="4"/>
  <c r="G21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3" i="3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<sst xmlns="http://schemas.openxmlformats.org/spreadsheetml/2006/main" count="488" uniqueCount="130">
  <si>
    <t>Product</t>
  </si>
  <si>
    <t>Quntity</t>
  </si>
  <si>
    <t>Amount</t>
  </si>
  <si>
    <t>Sales Mane</t>
  </si>
  <si>
    <t>DINESHWAR</t>
  </si>
  <si>
    <t>PASWAN</t>
  </si>
  <si>
    <t>MANTU</t>
  </si>
  <si>
    <t>RAHUL</t>
  </si>
  <si>
    <t>MOHIT</t>
  </si>
  <si>
    <t>RISI</t>
  </si>
  <si>
    <t>PINKI</t>
  </si>
  <si>
    <t>ABHINAS</t>
  </si>
  <si>
    <t>ROHIT</t>
  </si>
  <si>
    <t>ABHAY</t>
  </si>
  <si>
    <t>KARAN</t>
  </si>
  <si>
    <t>BIKI</t>
  </si>
  <si>
    <t>MAMATA</t>
  </si>
  <si>
    <t>PANDY</t>
  </si>
  <si>
    <t>RINKU</t>
  </si>
  <si>
    <t>MANISHA</t>
  </si>
  <si>
    <t>KIRISH</t>
  </si>
  <si>
    <t>LAPTOP</t>
  </si>
  <si>
    <t>MOBILE</t>
  </si>
  <si>
    <t>MOUSE</t>
  </si>
  <si>
    <t>KEYBOARD</t>
  </si>
  <si>
    <t>PEN DRIVE</t>
  </si>
  <si>
    <t>TV</t>
  </si>
  <si>
    <t>SMART Tv</t>
  </si>
  <si>
    <t>ADOPTER</t>
  </si>
  <si>
    <t>SONY Tv</t>
  </si>
  <si>
    <t>LENEVO</t>
  </si>
  <si>
    <t>DELL LAPTOP</t>
  </si>
  <si>
    <t>SAMSUNG MOBILE</t>
  </si>
  <si>
    <t>QUMPAQ LAPTOP</t>
  </si>
  <si>
    <t>Sub Total</t>
  </si>
  <si>
    <t>Status</t>
  </si>
  <si>
    <t>Completed</t>
  </si>
  <si>
    <t>Pending</t>
  </si>
  <si>
    <t>Cancelled</t>
  </si>
  <si>
    <t>Order ID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</si>
  <si>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</si>
  <si>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</si>
  <si>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</si>
  <si>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</si>
  <si>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</si>
  <si>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</si>
  <si>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</si>
  <si>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</si>
  <si>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</si>
  <si>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ORD112</t>
  </si>
  <si>
    <t>ORD113</t>
  </si>
  <si>
    <t>ORD114</t>
  </si>
  <si>
    <t>ORD115</t>
  </si>
  <si>
    <t>ORD116</t>
  </si>
  <si>
    <t>ORD117</t>
  </si>
  <si>
    <t>ORD118</t>
  </si>
  <si>
    <t>ORD120</t>
  </si>
  <si>
    <t>Hilight used Conditional Formattng</t>
  </si>
  <si>
    <t>Date</t>
  </si>
  <si>
    <t>Unit price</t>
  </si>
  <si>
    <t>Qty</t>
  </si>
  <si>
    <t>KOMAL</t>
  </si>
  <si>
    <t>RAVI</t>
  </si>
  <si>
    <t>RAJAN</t>
  </si>
  <si>
    <t>FAN</t>
  </si>
  <si>
    <t>MAHABIR</t>
  </si>
  <si>
    <t>PENDRIVE</t>
  </si>
  <si>
    <t>RITIK</t>
  </si>
  <si>
    <t>SURESH</t>
  </si>
  <si>
    <t>SMART TV</t>
  </si>
  <si>
    <t>RAMAN</t>
  </si>
  <si>
    <t>MITHUN</t>
  </si>
  <si>
    <t>LAKAN</t>
  </si>
  <si>
    <t>KAJAL</t>
  </si>
  <si>
    <t>IPHONE</t>
  </si>
  <si>
    <t>AIR PHONE</t>
  </si>
  <si>
    <t>AMAN</t>
  </si>
  <si>
    <t>HEAD PHONE</t>
  </si>
  <si>
    <t>Pro id</t>
  </si>
  <si>
    <t>PRO101</t>
  </si>
  <si>
    <t>PRO102</t>
  </si>
  <si>
    <t>PRO103</t>
  </si>
  <si>
    <t>PRO104</t>
  </si>
  <si>
    <t>PRO106</t>
  </si>
  <si>
    <t>PRO107</t>
  </si>
  <si>
    <t>PRO108</t>
  </si>
  <si>
    <t>PRO109</t>
  </si>
  <si>
    <t>PRO110</t>
  </si>
  <si>
    <t>PRO111</t>
  </si>
  <si>
    <t>PRO112</t>
  </si>
  <si>
    <t>PRO113</t>
  </si>
  <si>
    <t>PRO114</t>
  </si>
  <si>
    <t>PRO115</t>
  </si>
  <si>
    <t>PRO116</t>
  </si>
  <si>
    <t>PRO117</t>
  </si>
  <si>
    <t>PRO118</t>
  </si>
  <si>
    <t>PRO119</t>
  </si>
  <si>
    <t>PRO120</t>
  </si>
  <si>
    <t>PRO121</t>
  </si>
  <si>
    <t xml:space="preserve">Conditinal Formating used of Data Analysis  Throu Hilight </t>
  </si>
  <si>
    <t>Orde-id</t>
  </si>
  <si>
    <t>date</t>
  </si>
  <si>
    <t>qty</t>
  </si>
  <si>
    <t>Total Amount</t>
  </si>
  <si>
    <t>ord101</t>
  </si>
  <si>
    <t>ord102</t>
  </si>
  <si>
    <t>ord103</t>
  </si>
  <si>
    <t>ord104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</si>
  <si>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</si>
  <si>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</si>
  <si>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</si>
  <si>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</si>
  <si>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</si>
  <si>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</si>
  <si>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</si>
  <si>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</si>
  <si>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</si>
  <si>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ord116</t>
  </si>
  <si>
    <t>ord117</t>
  </si>
  <si>
    <t>ord118</t>
  </si>
  <si>
    <t>ord119</t>
  </si>
  <si>
    <t>ord120</t>
  </si>
  <si>
    <t>ord121</t>
  </si>
  <si>
    <t>ord122</t>
  </si>
  <si>
    <t xml:space="preserve">Data Analysis used Throu of  Conditional Formatting </t>
  </si>
  <si>
    <t xml:space="preserve">Data Analysis used of  Duplicate  Conditional Formatting </t>
  </si>
  <si>
    <t>Delivery Date</t>
  </si>
  <si>
    <t>Pyment Due Date</t>
  </si>
  <si>
    <t xml:space="preserve"> =Total Avarage</t>
  </si>
  <si>
    <t xml:space="preserve">Top and Lowest 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</si>
</sst>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4"/>
      <color rgb="FF002060"/>
      <name val="Arial Rounded MT Bold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55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B050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D05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5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theme="5" tint="-0.24994659260841701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D05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5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B050"/>
      </font>
    </dxf>
    <dxf>
      <font>
        <color theme="5" tint="-0.24994659260841701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DEB9-7978-46D8-9276-584F84A854A0}">
  <dimension ref="A1:J22"/>
  <sheetViews>
    <sheetView workbookViewId="0">
      <selection activeCell="J7" sqref="J7"/>
    </sheetView>
  </sheetViews>
  <sheetFormatPr defaultRowHeight="15" x14ac:dyDescent="0.25"/>
  <cols>
    <col min="2" max="2" width="13.5703125" bestFit="1" customWidth="1"/>
    <col min="3" max="3" width="17.42578125" bestFit="1" customWidth="1"/>
    <col min="6" max="6" width="12.28515625" bestFit="1" customWidth="1"/>
    <col min="7" max="7" width="10.85546875" bestFit="1" customWidth="1"/>
  </cols>
  <sheetData>
    <row r="1" spans="1:10" ht="18" x14ac:dyDescent="0.25">
      <c r="A1" s="15" t="s">
        <v>57</v>
      </c>
      <c r="B1" s="15"/>
      <c r="C1" s="15"/>
      <c r="D1" s="15"/>
      <c r="E1" s="15"/>
      <c r="F1" s="15"/>
      <c r="G1" s="15"/>
    </row>
    <row r="2" spans="1:10" ht="15.75" x14ac:dyDescent="0.25">
      <c r="A2" s="6" t="s">
        <v>39</v>
      </c>
      <c r="B2" s="1" t="s">
        <v>3</v>
      </c>
      <c r="C2" s="1" t="s">
        <v>0</v>
      </c>
      <c r="D2" s="1" t="s">
        <v>2</v>
      </c>
      <c r="E2" s="1" t="s">
        <v>1</v>
      </c>
      <c r="F2" s="1" t="s">
        <v>34</v>
      </c>
      <c r="G2" s="1" t="s">
        <v>35</v>
      </c>
    </row>
    <row r="3" spans="1:10" x14ac:dyDescent="0.25">
      <c r="A3" s="5" t="s">
        <v>40</v>
      </c>
      <c r="B3" s="3" t="s">
        <v>4</v>
      </c>
      <c r="C3" s="3" t="s">
        <v>31</v>
      </c>
      <c r="D3" s="3">
        <v>45000</v>
      </c>
      <c r="E3" s="2">
        <v>2</v>
      </c>
      <c r="F3" s="4">
        <f>D3*E3</f>
        <v>90000</v>
      </c>
      <c r="G3" s="2" t="s">
        <v>36</v>
      </c>
    </row>
    <row r="4" spans="1:10" x14ac:dyDescent="0.25">
      <c r="A4" s="5" t="s">
        <v>41</v>
      </c>
      <c r="B4" s="3" t="s">
        <v>5</v>
      </c>
      <c r="C4" s="3" t="s">
        <v>22</v>
      </c>
      <c r="D4" s="3">
        <v>3000</v>
      </c>
      <c r="E4" s="2">
        <v>3</v>
      </c>
      <c r="F4" s="4">
        <f t="shared" ref="F4:F22" si="0">D4*E4</f>
        <v>9000</v>
      </c>
      <c r="G4" s="2" t="s">
        <v>37</v>
      </c>
    </row>
    <row r="5" spans="1:10" x14ac:dyDescent="0.25">
      <c r="A5" s="5" t="s">
        <v>42</v>
      </c>
      <c r="B5" s="3" t="s">
        <v>6</v>
      </c>
      <c r="C5" s="3" t="s">
        <v>23</v>
      </c>
      <c r="D5" s="3">
        <v>50</v>
      </c>
      <c r="E5" s="2">
        <v>5</v>
      </c>
      <c r="F5" s="4">
        <f t="shared" si="0"/>
        <v>250</v>
      </c>
      <c r="G5" s="2" t="s">
        <v>36</v>
      </c>
      <c r="J5" s="5"/>
    </row>
    <row r="6" spans="1:10" x14ac:dyDescent="0.25">
      <c r="A6" s="5" t="s">
        <v>43</v>
      </c>
      <c r="B6" s="3" t="s">
        <v>7</v>
      </c>
      <c r="C6" s="3" t="s">
        <v>24</v>
      </c>
      <c r="D6" s="3">
        <v>350</v>
      </c>
      <c r="E6" s="2">
        <v>10</v>
      </c>
      <c r="F6" s="4">
        <f t="shared" si="0"/>
        <v>3500</v>
      </c>
      <c r="G6" s="2" t="s">
        <v>38</v>
      </c>
    </row>
    <row r="7" spans="1:10" x14ac:dyDescent="0.25">
      <c r="A7" s="5" t="s">
        <v>44</v>
      </c>
      <c r="B7" s="3" t="s">
        <v>8</v>
      </c>
      <c r="C7" s="3" t="s">
        <v>25</v>
      </c>
      <c r="D7" s="3">
        <v>100</v>
      </c>
      <c r="E7" s="2">
        <v>3</v>
      </c>
      <c r="F7" s="4">
        <f t="shared" si="0"/>
        <v>300</v>
      </c>
      <c r="G7" s="2" t="s">
        <v>37</v>
      </c>
    </row>
    <row r="8" spans="1:10" x14ac:dyDescent="0.25">
      <c r="A8" s="5" t="s">
        <v>45</v>
      </c>
      <c r="B8" s="3" t="s">
        <v>9</v>
      </c>
      <c r="C8" s="3" t="s">
        <v>21</v>
      </c>
      <c r="D8" s="3">
        <v>60000</v>
      </c>
      <c r="E8" s="2">
        <v>5</v>
      </c>
      <c r="F8" s="4">
        <f t="shared" si="0"/>
        <v>300000</v>
      </c>
      <c r="G8" s="2" t="s">
        <v>37</v>
      </c>
    </row>
    <row r="9" spans="1:10" x14ac:dyDescent="0.25">
      <c r="A9" s="5" t="s">
        <v>46</v>
      </c>
      <c r="B9" s="3" t="s">
        <v>10</v>
      </c>
      <c r="C9" s="3" t="s">
        <v>23</v>
      </c>
      <c r="D9" s="3">
        <v>70</v>
      </c>
      <c r="E9" s="2">
        <v>10</v>
      </c>
      <c r="F9" s="4">
        <f t="shared" si="0"/>
        <v>700</v>
      </c>
      <c r="G9" s="2" t="s">
        <v>38</v>
      </c>
    </row>
    <row r="10" spans="1:10" x14ac:dyDescent="0.25">
      <c r="A10" s="5" t="s">
        <v>47</v>
      </c>
      <c r="B10" s="3" t="s">
        <v>11</v>
      </c>
      <c r="C10" s="3" t="s">
        <v>26</v>
      </c>
      <c r="D10" s="3">
        <v>8800</v>
      </c>
      <c r="E10" s="2">
        <v>2</v>
      </c>
      <c r="F10" s="4">
        <f t="shared" si="0"/>
        <v>17600</v>
      </c>
      <c r="G10" s="2" t="s">
        <v>36</v>
      </c>
    </row>
    <row r="11" spans="1:10" x14ac:dyDescent="0.25">
      <c r="A11" s="5" t="s">
        <v>48</v>
      </c>
      <c r="B11" s="3" t="s">
        <v>12</v>
      </c>
      <c r="C11" s="3" t="s">
        <v>27</v>
      </c>
      <c r="D11" s="3">
        <v>31500</v>
      </c>
      <c r="E11" s="2">
        <v>2</v>
      </c>
      <c r="F11" s="4">
        <f t="shared" si="0"/>
        <v>63000</v>
      </c>
      <c r="G11" s="2" t="s">
        <v>37</v>
      </c>
    </row>
    <row r="12" spans="1:10" x14ac:dyDescent="0.25">
      <c r="A12" s="5" t="s">
        <v>41</v>
      </c>
      <c r="B12" s="3" t="s">
        <v>5</v>
      </c>
      <c r="C12" s="3" t="s">
        <v>22</v>
      </c>
      <c r="D12" s="3">
        <v>3000</v>
      </c>
      <c r="E12" s="2">
        <v>3</v>
      </c>
      <c r="F12" s="4">
        <f t="shared" si="0"/>
        <v>9000</v>
      </c>
      <c r="G12" s="2" t="s">
        <v>37</v>
      </c>
    </row>
    <row r="13" spans="1:10" x14ac:dyDescent="0.25">
      <c r="A13" s="5" t="s">
        <v>42</v>
      </c>
      <c r="B13" s="3" t="s">
        <v>6</v>
      </c>
      <c r="C13" s="3" t="s">
        <v>23</v>
      </c>
      <c r="D13" s="3">
        <v>50</v>
      </c>
      <c r="E13" s="2">
        <v>5</v>
      </c>
      <c r="F13" s="4">
        <f t="shared" si="0"/>
        <v>250</v>
      </c>
      <c r="G13" s="2" t="s">
        <v>36</v>
      </c>
    </row>
    <row r="14" spans="1:10" x14ac:dyDescent="0.25">
      <c r="A14" s="5" t="s">
        <v>49</v>
      </c>
      <c r="B14" s="3" t="s">
        <v>13</v>
      </c>
      <c r="C14" s="3" t="s">
        <v>28</v>
      </c>
      <c r="D14" s="3">
        <v>1350</v>
      </c>
      <c r="E14" s="2">
        <v>2</v>
      </c>
      <c r="F14" s="4">
        <f t="shared" si="0"/>
        <v>2700</v>
      </c>
      <c r="G14" s="2" t="s">
        <v>38</v>
      </c>
    </row>
    <row r="15" spans="1:10" x14ac:dyDescent="0.25">
      <c r="A15" s="5" t="s">
        <v>50</v>
      </c>
      <c r="B15" s="3" t="s">
        <v>14</v>
      </c>
      <c r="C15" s="3" t="s">
        <v>29</v>
      </c>
      <c r="D15" s="3">
        <v>85000</v>
      </c>
      <c r="E15" s="2">
        <v>3</v>
      </c>
      <c r="F15" s="4">
        <f t="shared" si="0"/>
        <v>255000</v>
      </c>
      <c r="G15" s="2" t="s">
        <v>37</v>
      </c>
    </row>
    <row r="16" spans="1:10" x14ac:dyDescent="0.25">
      <c r="A16" s="5" t="s">
        <v>51</v>
      </c>
      <c r="B16" s="3" t="s">
        <v>15</v>
      </c>
      <c r="C16" s="3" t="s">
        <v>23</v>
      </c>
      <c r="D16" s="3">
        <v>120</v>
      </c>
      <c r="E16" s="2">
        <v>10</v>
      </c>
      <c r="F16" s="4">
        <f t="shared" si="0"/>
        <v>1200</v>
      </c>
      <c r="G16" s="2" t="s">
        <v>38</v>
      </c>
    </row>
    <row r="17" spans="1:7" x14ac:dyDescent="0.25">
      <c r="A17" s="5" t="s">
        <v>52</v>
      </c>
      <c r="B17" s="3" t="s">
        <v>16</v>
      </c>
      <c r="C17" s="3" t="s">
        <v>24</v>
      </c>
      <c r="D17" s="3">
        <v>250</v>
      </c>
      <c r="E17" s="2">
        <v>4</v>
      </c>
      <c r="F17" s="4">
        <f t="shared" si="0"/>
        <v>1000</v>
      </c>
      <c r="G17" s="2" t="s">
        <v>36</v>
      </c>
    </row>
    <row r="18" spans="1:7" x14ac:dyDescent="0.25">
      <c r="A18" s="5" t="s">
        <v>53</v>
      </c>
      <c r="B18" s="3" t="s">
        <v>17</v>
      </c>
      <c r="C18" s="3" t="s">
        <v>30</v>
      </c>
      <c r="D18" s="3">
        <v>55000</v>
      </c>
      <c r="E18" s="2">
        <v>4</v>
      </c>
      <c r="F18" s="4">
        <f t="shared" si="0"/>
        <v>220000</v>
      </c>
      <c r="G18" s="2" t="s">
        <v>38</v>
      </c>
    </row>
    <row r="19" spans="1:7" x14ac:dyDescent="0.25">
      <c r="A19" s="5" t="s">
        <v>54</v>
      </c>
      <c r="B19" s="3" t="s">
        <v>18</v>
      </c>
      <c r="C19" s="3" t="s">
        <v>32</v>
      </c>
      <c r="D19" s="3">
        <v>17000</v>
      </c>
      <c r="E19" s="2">
        <v>3</v>
      </c>
      <c r="F19" s="4">
        <f t="shared" si="0"/>
        <v>51000</v>
      </c>
      <c r="G19" s="2" t="s">
        <v>37</v>
      </c>
    </row>
    <row r="20" spans="1:7" x14ac:dyDescent="0.25">
      <c r="A20" s="5" t="s">
        <v>55</v>
      </c>
      <c r="B20" s="3" t="s">
        <v>19</v>
      </c>
      <c r="C20" s="3" t="s">
        <v>31</v>
      </c>
      <c r="D20" s="3">
        <v>45000</v>
      </c>
      <c r="E20" s="2">
        <v>5</v>
      </c>
      <c r="F20" s="4">
        <f t="shared" si="0"/>
        <v>225000</v>
      </c>
      <c r="G20" s="2" t="s">
        <v>36</v>
      </c>
    </row>
    <row r="21" spans="1:7" x14ac:dyDescent="0.25">
      <c r="A21" s="5" t="s">
        <v>44</v>
      </c>
      <c r="B21" s="3" t="s">
        <v>8</v>
      </c>
      <c r="C21" s="3" t="s">
        <v>25</v>
      </c>
      <c r="D21" s="3">
        <v>100</v>
      </c>
      <c r="E21" s="2">
        <v>3</v>
      </c>
      <c r="F21" s="4">
        <f t="shared" si="0"/>
        <v>300</v>
      </c>
      <c r="G21" s="2" t="s">
        <v>37</v>
      </c>
    </row>
    <row r="22" spans="1:7" x14ac:dyDescent="0.25">
      <c r="A22" s="5" t="s">
        <v>56</v>
      </c>
      <c r="B22" s="3" t="s">
        <v>20</v>
      </c>
      <c r="C22" s="3" t="s">
        <v>33</v>
      </c>
      <c r="D22" s="3">
        <v>25000</v>
      </c>
      <c r="E22" s="2">
        <v>1</v>
      </c>
      <c r="F22" s="4">
        <f t="shared" si="0"/>
        <v>25000</v>
      </c>
      <c r="G22" s="2" t="s">
        <v>38</v>
      </c>
    </row>
  </sheetData>
  <mergeCells count="1">
    <mergeCell ref="A1:G1"/>
  </mergeCells>
  <phoneticPr fontId="3" type="noConversion"/>
  <conditionalFormatting sqref="G3:G22">
    <cfRule type="containsText" dxfId="54" priority="12" operator="containsText" text="Pending">
      <formula>NOT(ISERROR(SEARCH("Pending",G3)))</formula>
    </cfRule>
    <cfRule type="containsText" dxfId="53" priority="13" operator="containsText" text="Cancelled">
      <formula>NOT(ISERROR(SEARCH("Cancelled",G3)))</formula>
    </cfRule>
    <cfRule type="containsText" dxfId="52" priority="14" operator="containsText" text="Completed">
      <formula>NOT(ISERROR(SEARCH("Completed",G3)))</formula>
    </cfRule>
  </conditionalFormatting>
  <conditionalFormatting sqref="F3:F22">
    <cfRule type="cellIs" dxfId="51" priority="9" operator="between">
      <formula>80000</formula>
      <formula>3500</formula>
    </cfRule>
    <cfRule type="cellIs" dxfId="50" priority="10" operator="lessThan">
      <formula>3500</formula>
    </cfRule>
    <cfRule type="cellIs" dxfId="49" priority="11" operator="greaterThan">
      <formula>80000</formula>
    </cfRule>
  </conditionalFormatting>
  <conditionalFormatting sqref="E3:E22">
    <cfRule type="top10" dxfId="48" priority="2" bottom="1" rank="5"/>
    <cfRule type="top10" dxfId="47" priority="3" bottom="1" rank="10"/>
    <cfRule type="top10" dxfId="46" priority="4" bottom="1" rank="5"/>
    <cfRule type="top10" dxfId="45" priority="5" bottom="1" rank="5"/>
    <cfRule type="cellIs" dxfId="44" priority="6" operator="equal">
      <formula>10</formula>
    </cfRule>
    <cfRule type="cellIs" dxfId="43" priority="7" operator="equal">
      <formula>5.5</formula>
    </cfRule>
    <cfRule type="cellIs" dxfId="42" priority="8" operator="equal">
      <formula>10</formula>
    </cfRule>
  </conditionalFormatting>
  <conditionalFormatting sqref="A3:A22">
    <cfRule type="duplicateValues" dxfId="4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1F71-306A-4CE6-8BC0-20EE0CBF3E58}">
  <dimension ref="A1:G22"/>
  <sheetViews>
    <sheetView workbookViewId="0">
      <selection activeCell="K10" sqref="K10"/>
    </sheetView>
  </sheetViews>
  <sheetFormatPr defaultRowHeight="15" x14ac:dyDescent="0.25"/>
  <cols>
    <col min="6" max="6" width="12.28515625" bestFit="1" customWidth="1"/>
    <col min="7" max="7" width="10.85546875" bestFit="1" customWidth="1"/>
  </cols>
  <sheetData>
    <row r="1" spans="1:7" ht="18" x14ac:dyDescent="0.25">
      <c r="A1" s="15" t="s">
        <v>57</v>
      </c>
      <c r="B1" s="15"/>
      <c r="C1" s="15"/>
      <c r="D1" s="15"/>
      <c r="E1" s="15"/>
      <c r="F1" s="15"/>
      <c r="G1" s="15"/>
    </row>
    <row r="2" spans="1:7" ht="15.75" x14ac:dyDescent="0.25">
      <c r="A2" s="6" t="s">
        <v>39</v>
      </c>
      <c r="B2" s="1" t="s">
        <v>3</v>
      </c>
      <c r="C2" s="1" t="s">
        <v>0</v>
      </c>
      <c r="D2" s="1" t="s">
        <v>2</v>
      </c>
      <c r="E2" s="1" t="s">
        <v>1</v>
      </c>
      <c r="F2" s="1" t="s">
        <v>34</v>
      </c>
      <c r="G2" s="1" t="s">
        <v>35</v>
      </c>
    </row>
    <row r="3" spans="1:7" x14ac:dyDescent="0.25">
      <c r="A3" s="5" t="s">
        <v>40</v>
      </c>
      <c r="B3" s="3" t="s">
        <v>4</v>
      </c>
      <c r="C3" s="3" t="s">
        <v>31</v>
      </c>
      <c r="D3" s="3">
        <v>45000</v>
      </c>
      <c r="E3" s="2">
        <v>2</v>
      </c>
      <c r="F3" s="8">
        <f>D3*E3</f>
        <v>90000</v>
      </c>
      <c r="G3" s="2" t="s">
        <v>36</v>
      </c>
    </row>
    <row r="4" spans="1:7" x14ac:dyDescent="0.25">
      <c r="A4" s="5" t="s">
        <v>41</v>
      </c>
      <c r="B4" s="3" t="s">
        <v>5</v>
      </c>
      <c r="C4" s="3" t="s">
        <v>22</v>
      </c>
      <c r="D4" s="3">
        <v>3000</v>
      </c>
      <c r="E4" s="2">
        <v>3</v>
      </c>
      <c r="F4" s="8">
        <f t="shared" ref="F4:F22" si="0">D4*E4</f>
        <v>9000</v>
      </c>
      <c r="G4" s="2" t="s">
        <v>37</v>
      </c>
    </row>
    <row r="5" spans="1:7" x14ac:dyDescent="0.25">
      <c r="A5" s="5" t="s">
        <v>42</v>
      </c>
      <c r="B5" s="3" t="s">
        <v>6</v>
      </c>
      <c r="C5" s="3" t="s">
        <v>23</v>
      </c>
      <c r="D5" s="3">
        <v>50</v>
      </c>
      <c r="E5" s="2">
        <v>5</v>
      </c>
      <c r="F5" s="8">
        <f t="shared" si="0"/>
        <v>250</v>
      </c>
      <c r="G5" s="2" t="s">
        <v>36</v>
      </c>
    </row>
    <row r="6" spans="1:7" x14ac:dyDescent="0.25">
      <c r="A6" s="5" t="s">
        <v>43</v>
      </c>
      <c r="B6" s="3" t="s">
        <v>7</v>
      </c>
      <c r="C6" s="3" t="s">
        <v>24</v>
      </c>
      <c r="D6" s="3">
        <v>350</v>
      </c>
      <c r="E6" s="2">
        <v>10</v>
      </c>
      <c r="F6" s="8">
        <f t="shared" si="0"/>
        <v>3500</v>
      </c>
      <c r="G6" s="2" t="s">
        <v>38</v>
      </c>
    </row>
    <row r="7" spans="1:7" x14ac:dyDescent="0.25">
      <c r="A7" s="5" t="s">
        <v>44</v>
      </c>
      <c r="B7" s="3" t="s">
        <v>8</v>
      </c>
      <c r="C7" s="3" t="s">
        <v>25</v>
      </c>
      <c r="D7" s="3">
        <v>100</v>
      </c>
      <c r="E7" s="2">
        <v>3</v>
      </c>
      <c r="F7" s="8">
        <f t="shared" si="0"/>
        <v>300</v>
      </c>
      <c r="G7" s="2" t="s">
        <v>37</v>
      </c>
    </row>
    <row r="8" spans="1:7" x14ac:dyDescent="0.25">
      <c r="A8" s="5" t="s">
        <v>45</v>
      </c>
      <c r="B8" s="3" t="s">
        <v>9</v>
      </c>
      <c r="C8" s="3" t="s">
        <v>21</v>
      </c>
      <c r="D8" s="3">
        <v>60000</v>
      </c>
      <c r="E8" s="2">
        <v>5</v>
      </c>
      <c r="F8" s="8">
        <f t="shared" si="0"/>
        <v>300000</v>
      </c>
      <c r="G8" s="2" t="s">
        <v>37</v>
      </c>
    </row>
    <row r="9" spans="1:7" x14ac:dyDescent="0.25">
      <c r="A9" s="5" t="s">
        <v>46</v>
      </c>
      <c r="B9" s="3" t="s">
        <v>10</v>
      </c>
      <c r="C9" s="3" t="s">
        <v>23</v>
      </c>
      <c r="D9" s="3">
        <v>70</v>
      </c>
      <c r="E9" s="2">
        <v>10</v>
      </c>
      <c r="F9" s="8">
        <f t="shared" si="0"/>
        <v>700</v>
      </c>
      <c r="G9" s="2" t="s">
        <v>38</v>
      </c>
    </row>
    <row r="10" spans="1:7" x14ac:dyDescent="0.25">
      <c r="A10" s="5" t="s">
        <v>47</v>
      </c>
      <c r="B10" s="3" t="s">
        <v>11</v>
      </c>
      <c r="C10" s="3" t="s">
        <v>26</v>
      </c>
      <c r="D10" s="3">
        <v>8800</v>
      </c>
      <c r="E10" s="2">
        <v>2</v>
      </c>
      <c r="F10" s="8">
        <f t="shared" si="0"/>
        <v>17600</v>
      </c>
      <c r="G10" s="2" t="s">
        <v>36</v>
      </c>
    </row>
    <row r="11" spans="1:7" x14ac:dyDescent="0.25">
      <c r="A11" s="5" t="s">
        <v>48</v>
      </c>
      <c r="B11" s="3" t="s">
        <v>12</v>
      </c>
      <c r="C11" s="3" t="s">
        <v>27</v>
      </c>
      <c r="D11" s="3">
        <v>31500</v>
      </c>
      <c r="E11" s="2">
        <v>2</v>
      </c>
      <c r="F11" s="8">
        <f t="shared" si="0"/>
        <v>63000</v>
      </c>
      <c r="G11" s="2" t="s">
        <v>37</v>
      </c>
    </row>
    <row r="12" spans="1:7" x14ac:dyDescent="0.25">
      <c r="A12" s="5" t="s">
        <v>41</v>
      </c>
      <c r="B12" s="3" t="s">
        <v>5</v>
      </c>
      <c r="C12" s="3" t="s">
        <v>22</v>
      </c>
      <c r="D12" s="3">
        <v>3000</v>
      </c>
      <c r="E12" s="2">
        <v>3</v>
      </c>
      <c r="F12" s="8">
        <f t="shared" si="0"/>
        <v>9000</v>
      </c>
      <c r="G12" s="2" t="s">
        <v>37</v>
      </c>
    </row>
    <row r="13" spans="1:7" x14ac:dyDescent="0.25">
      <c r="A13" s="5" t="s">
        <v>42</v>
      </c>
      <c r="B13" s="3" t="s">
        <v>6</v>
      </c>
      <c r="C13" s="3" t="s">
        <v>23</v>
      </c>
      <c r="D13" s="3">
        <v>50</v>
      </c>
      <c r="E13" s="2">
        <v>5</v>
      </c>
      <c r="F13" s="8">
        <f t="shared" si="0"/>
        <v>250</v>
      </c>
      <c r="G13" s="2" t="s">
        <v>36</v>
      </c>
    </row>
    <row r="14" spans="1:7" x14ac:dyDescent="0.25">
      <c r="A14" s="5" t="s">
        <v>49</v>
      </c>
      <c r="B14" s="3" t="s">
        <v>13</v>
      </c>
      <c r="C14" s="3" t="s">
        <v>28</v>
      </c>
      <c r="D14" s="3">
        <v>1350</v>
      </c>
      <c r="E14" s="2">
        <v>2</v>
      </c>
      <c r="F14" s="8">
        <f t="shared" si="0"/>
        <v>2700</v>
      </c>
      <c r="G14" s="2" t="s">
        <v>38</v>
      </c>
    </row>
    <row r="15" spans="1:7" x14ac:dyDescent="0.25">
      <c r="A15" s="5" t="s">
        <v>50</v>
      </c>
      <c r="B15" s="3" t="s">
        <v>14</v>
      </c>
      <c r="C15" s="3" t="s">
        <v>29</v>
      </c>
      <c r="D15" s="3">
        <v>85000</v>
      </c>
      <c r="E15" s="2">
        <v>3</v>
      </c>
      <c r="F15" s="8">
        <f t="shared" si="0"/>
        <v>255000</v>
      </c>
      <c r="G15" s="2" t="s">
        <v>37</v>
      </c>
    </row>
    <row r="16" spans="1:7" x14ac:dyDescent="0.25">
      <c r="A16" s="5" t="s">
        <v>51</v>
      </c>
      <c r="B16" s="3" t="s">
        <v>15</v>
      </c>
      <c r="C16" s="3" t="s">
        <v>23</v>
      </c>
      <c r="D16" s="3">
        <v>120</v>
      </c>
      <c r="E16" s="2">
        <v>10</v>
      </c>
      <c r="F16" s="8">
        <f t="shared" si="0"/>
        <v>1200</v>
      </c>
      <c r="G16" s="2" t="s">
        <v>38</v>
      </c>
    </row>
    <row r="17" spans="1:7" x14ac:dyDescent="0.25">
      <c r="A17" s="5" t="s">
        <v>52</v>
      </c>
      <c r="B17" s="3" t="s">
        <v>16</v>
      </c>
      <c r="C17" s="3" t="s">
        <v>24</v>
      </c>
      <c r="D17" s="3">
        <v>250</v>
      </c>
      <c r="E17" s="2">
        <v>4</v>
      </c>
      <c r="F17" s="8">
        <f t="shared" si="0"/>
        <v>1000</v>
      </c>
      <c r="G17" s="2" t="s">
        <v>36</v>
      </c>
    </row>
    <row r="18" spans="1:7" x14ac:dyDescent="0.25">
      <c r="A18" s="5" t="s">
        <v>53</v>
      </c>
      <c r="B18" s="3" t="s">
        <v>17</v>
      </c>
      <c r="C18" s="3" t="s">
        <v>30</v>
      </c>
      <c r="D18" s="3">
        <v>55000</v>
      </c>
      <c r="E18" s="2">
        <v>4</v>
      </c>
      <c r="F18" s="8">
        <f t="shared" si="0"/>
        <v>220000</v>
      </c>
      <c r="G18" s="2" t="s">
        <v>38</v>
      </c>
    </row>
    <row r="19" spans="1:7" x14ac:dyDescent="0.25">
      <c r="A19" s="5" t="s">
        <v>54</v>
      </c>
      <c r="B19" s="3" t="s">
        <v>18</v>
      </c>
      <c r="C19" s="3" t="s">
        <v>32</v>
      </c>
      <c r="D19" s="3">
        <v>17000</v>
      </c>
      <c r="E19" s="2">
        <v>3</v>
      </c>
      <c r="F19" s="8">
        <f t="shared" si="0"/>
        <v>51000</v>
      </c>
      <c r="G19" s="2" t="s">
        <v>37</v>
      </c>
    </row>
    <row r="20" spans="1:7" x14ac:dyDescent="0.25">
      <c r="A20" s="5" t="s">
        <v>55</v>
      </c>
      <c r="B20" s="3" t="s">
        <v>19</v>
      </c>
      <c r="C20" s="3" t="s">
        <v>31</v>
      </c>
      <c r="D20" s="3">
        <v>45000</v>
      </c>
      <c r="E20" s="2">
        <v>5</v>
      </c>
      <c r="F20" s="8">
        <f t="shared" si="0"/>
        <v>225000</v>
      </c>
      <c r="G20" s="2" t="s">
        <v>36</v>
      </c>
    </row>
    <row r="21" spans="1:7" x14ac:dyDescent="0.25">
      <c r="A21" s="5" t="s">
        <v>44</v>
      </c>
      <c r="B21" s="3" t="s">
        <v>8</v>
      </c>
      <c r="C21" s="3" t="s">
        <v>25</v>
      </c>
      <c r="D21" s="3">
        <v>100</v>
      </c>
      <c r="E21" s="2">
        <v>3</v>
      </c>
      <c r="F21" s="8">
        <f t="shared" si="0"/>
        <v>300</v>
      </c>
      <c r="G21" s="2" t="s">
        <v>37</v>
      </c>
    </row>
    <row r="22" spans="1:7" x14ac:dyDescent="0.25">
      <c r="A22" s="5" t="s">
        <v>56</v>
      </c>
      <c r="B22" s="3" t="s">
        <v>20</v>
      </c>
      <c r="C22" s="3" t="s">
        <v>33</v>
      </c>
      <c r="D22" s="3">
        <v>25000</v>
      </c>
      <c r="E22" s="2">
        <v>1</v>
      </c>
      <c r="F22" s="8">
        <f t="shared" si="0"/>
        <v>25000</v>
      </c>
      <c r="G22" s="2" t="s">
        <v>38</v>
      </c>
    </row>
  </sheetData>
  <mergeCells count="1">
    <mergeCell ref="A1:G1"/>
  </mergeCells>
  <conditionalFormatting sqref="G3:G22">
    <cfRule type="containsText" dxfId="40" priority="15" operator="containsText" text="Pending">
      <formula>NOT(ISERROR(SEARCH("Pending",G3)))</formula>
    </cfRule>
    <cfRule type="containsText" dxfId="39" priority="16" operator="containsText" text="Cancelled">
      <formula>NOT(ISERROR(SEARCH("Cancelled",G3)))</formula>
    </cfRule>
    <cfRule type="containsText" dxfId="38" priority="17" operator="containsText" text="Completed">
      <formula>NOT(ISERROR(SEARCH("Completed",G3)))</formula>
    </cfRule>
  </conditionalFormatting>
  <conditionalFormatting sqref="F3:F2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{4213FE1A-E227-4E48-B541-11DD14F00B9D}</x14:id>
        </ext>
      </extLst>
    </cfRule>
    <cfRule type="cellIs" dxfId="37" priority="12" operator="between">
      <formula>80000</formula>
      <formula>3500</formula>
    </cfRule>
    <cfRule type="cellIs" dxfId="36" priority="13" operator="lessThan">
      <formula>3500</formula>
    </cfRule>
    <cfRule type="cellIs" dxfId="35" priority="14" operator="greaterThan">
      <formula>80000</formula>
    </cfRule>
  </conditionalFormatting>
  <conditionalFormatting sqref="E3:E22">
    <cfRule type="top10" dxfId="34" priority="5" bottom="1" rank="5"/>
    <cfRule type="top10" dxfId="33" priority="6" bottom="1" rank="10"/>
    <cfRule type="top10" dxfId="32" priority="7" bottom="1" rank="5"/>
    <cfRule type="top10" dxfId="31" priority="8" bottom="1" rank="5"/>
    <cfRule type="cellIs" dxfId="30" priority="9" operator="equal">
      <formula>10</formula>
    </cfRule>
    <cfRule type="cellIs" dxfId="29" priority="10" operator="equal">
      <formula>5.5</formula>
    </cfRule>
    <cfRule type="cellIs" dxfId="28" priority="11" operator="equal">
      <formula>10</formula>
    </cfRule>
  </conditionalFormatting>
  <conditionalFormatting sqref="A3:A22">
    <cfRule type="duplicateValues" dxfId="27" priority="4"/>
  </conditionalFormatting>
  <conditionalFormatting sqref="D3:D2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3FE1A-E227-4E48-B541-11DD14F00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FB3A-FA22-486E-A149-91598A3341CB}">
  <dimension ref="A1:G25"/>
  <sheetViews>
    <sheetView tabSelected="1" workbookViewId="0">
      <selection activeCell="D8" sqref="A1:G25"/>
    </sheetView>
  </sheetViews>
  <sheetFormatPr defaultRowHeight="15" x14ac:dyDescent="0.25"/>
  <cols>
    <col min="1" max="1" width="9.140625" style="7"/>
    <col min="2" max="2" width="10.42578125" style="7" bestFit="1" customWidth="1"/>
    <col min="3" max="3" width="11.85546875" style="7" bestFit="1" customWidth="1"/>
    <col min="4" max="4" width="15.7109375" style="7" bestFit="1" customWidth="1"/>
    <col min="5" max="5" width="9.7109375" style="7" bestFit="1" customWidth="1"/>
    <col min="6" max="6" width="9.140625" style="7"/>
    <col min="7" max="7" width="10.7109375" style="7" bestFit="1" customWidth="1"/>
    <col min="8" max="16384" width="9.140625" style="7"/>
  </cols>
  <sheetData>
    <row r="1" spans="1:7" x14ac:dyDescent="0.25">
      <c r="A1" s="16" t="s">
        <v>99</v>
      </c>
      <c r="B1" s="16"/>
      <c r="C1" s="16"/>
      <c r="D1" s="16"/>
      <c r="E1" s="16"/>
      <c r="F1" s="16"/>
      <c r="G1" s="16"/>
    </row>
    <row r="2" spans="1:7" x14ac:dyDescent="0.25">
      <c r="A2" s="10" t="s">
        <v>78</v>
      </c>
      <c r="B2" s="9" t="s">
        <v>58</v>
      </c>
      <c r="C2" s="10" t="s">
        <v>3</v>
      </c>
      <c r="D2" s="10" t="s">
        <v>0</v>
      </c>
      <c r="E2" s="10" t="s">
        <v>59</v>
      </c>
      <c r="F2" s="10" t="s">
        <v>60</v>
      </c>
      <c r="G2" s="10" t="s">
        <v>2</v>
      </c>
    </row>
    <row r="3" spans="1:7" x14ac:dyDescent="0.25">
      <c r="A3" s="7" t="s">
        <v>79</v>
      </c>
      <c r="B3" s="12">
        <v>46276</v>
      </c>
      <c r="C3" s="13" t="s">
        <v>4</v>
      </c>
      <c r="D3" s="13" t="s">
        <v>22</v>
      </c>
      <c r="E3" s="14">
        <v>5000</v>
      </c>
      <c r="F3" s="13">
        <v>2</v>
      </c>
      <c r="G3" s="14">
        <f>E3*F3</f>
        <v>10000</v>
      </c>
    </row>
    <row r="4" spans="1:7" x14ac:dyDescent="0.25">
      <c r="A4" s="7" t="s">
        <v>80</v>
      </c>
      <c r="B4" s="11">
        <v>46277</v>
      </c>
      <c r="C4" s="3" t="s">
        <v>7</v>
      </c>
      <c r="D4" s="3" t="s">
        <v>21</v>
      </c>
      <c r="E4" s="4">
        <v>2000</v>
      </c>
      <c r="F4" s="3">
        <v>3</v>
      </c>
      <c r="G4" s="4">
        <f t="shared" ref="G4:G25" si="0">E4*F4</f>
        <v>6000</v>
      </c>
    </row>
    <row r="5" spans="1:7" x14ac:dyDescent="0.25">
      <c r="A5" s="7" t="s">
        <v>81</v>
      </c>
      <c r="B5" s="11">
        <v>46278</v>
      </c>
      <c r="C5" s="3" t="s">
        <v>61</v>
      </c>
      <c r="D5" s="3" t="s">
        <v>23</v>
      </c>
      <c r="E5" s="4">
        <v>25</v>
      </c>
      <c r="F5" s="3">
        <v>6</v>
      </c>
      <c r="G5" s="4">
        <f t="shared" si="0"/>
        <v>150</v>
      </c>
    </row>
    <row r="6" spans="1:7" x14ac:dyDescent="0.25">
      <c r="A6" s="7" t="s">
        <v>82</v>
      </c>
      <c r="B6" s="11">
        <v>46279</v>
      </c>
      <c r="C6" s="3" t="s">
        <v>19</v>
      </c>
      <c r="D6" s="3" t="s">
        <v>21</v>
      </c>
      <c r="E6" s="4">
        <v>3500</v>
      </c>
      <c r="F6" s="3">
        <v>5</v>
      </c>
      <c r="G6" s="4">
        <f t="shared" si="0"/>
        <v>17500</v>
      </c>
    </row>
    <row r="7" spans="1:7" x14ac:dyDescent="0.25">
      <c r="A7" s="7" t="s">
        <v>80</v>
      </c>
      <c r="B7" s="11">
        <v>46277</v>
      </c>
      <c r="C7" s="3" t="s">
        <v>7</v>
      </c>
      <c r="D7" s="3" t="s">
        <v>21</v>
      </c>
      <c r="E7" s="4">
        <v>2000</v>
      </c>
      <c r="F7" s="3">
        <v>3</v>
      </c>
      <c r="G7" s="4">
        <f t="shared" si="0"/>
        <v>6000</v>
      </c>
    </row>
    <row r="8" spans="1:7" x14ac:dyDescent="0.25">
      <c r="A8" s="7" t="s">
        <v>83</v>
      </c>
      <c r="B8" s="11">
        <v>46282</v>
      </c>
      <c r="C8" s="3" t="s">
        <v>62</v>
      </c>
      <c r="D8" s="3" t="s">
        <v>24</v>
      </c>
      <c r="E8" s="4">
        <v>450</v>
      </c>
      <c r="F8" s="3">
        <v>8</v>
      </c>
      <c r="G8" s="4">
        <f t="shared" si="0"/>
        <v>3600</v>
      </c>
    </row>
    <row r="9" spans="1:7" x14ac:dyDescent="0.25">
      <c r="A9" s="7" t="s">
        <v>84</v>
      </c>
      <c r="B9" s="11">
        <v>46282</v>
      </c>
      <c r="C9" s="3" t="s">
        <v>61</v>
      </c>
      <c r="D9" s="3" t="s">
        <v>23</v>
      </c>
      <c r="E9" s="4">
        <v>25</v>
      </c>
      <c r="F9" s="3">
        <v>6</v>
      </c>
      <c r="G9" s="4">
        <f t="shared" si="0"/>
        <v>150</v>
      </c>
    </row>
    <row r="10" spans="1:7" x14ac:dyDescent="0.25">
      <c r="A10" s="7" t="s">
        <v>85</v>
      </c>
      <c r="B10" s="11">
        <v>46283</v>
      </c>
      <c r="C10" s="3" t="s">
        <v>63</v>
      </c>
      <c r="D10" s="3" t="s">
        <v>64</v>
      </c>
      <c r="E10" s="4">
        <v>1500</v>
      </c>
      <c r="F10" s="3">
        <v>2</v>
      </c>
      <c r="G10" s="4">
        <f t="shared" si="0"/>
        <v>3000</v>
      </c>
    </row>
    <row r="11" spans="1:7" x14ac:dyDescent="0.25">
      <c r="A11" s="7" t="s">
        <v>86</v>
      </c>
      <c r="B11" s="11">
        <v>46284</v>
      </c>
      <c r="C11" s="3" t="s">
        <v>65</v>
      </c>
      <c r="D11" s="3" t="s">
        <v>66</v>
      </c>
      <c r="E11" s="4">
        <v>60</v>
      </c>
      <c r="F11" s="3">
        <v>5</v>
      </c>
      <c r="G11" s="4">
        <f t="shared" si="0"/>
        <v>300</v>
      </c>
    </row>
    <row r="12" spans="1:7" x14ac:dyDescent="0.25">
      <c r="A12" s="7" t="s">
        <v>87</v>
      </c>
      <c r="B12" s="11">
        <v>46285</v>
      </c>
      <c r="C12" s="3" t="s">
        <v>67</v>
      </c>
      <c r="D12" s="3" t="s">
        <v>26</v>
      </c>
      <c r="E12" s="4">
        <v>6000</v>
      </c>
      <c r="F12" s="3">
        <v>4</v>
      </c>
      <c r="G12" s="4">
        <f t="shared" si="0"/>
        <v>24000</v>
      </c>
    </row>
    <row r="13" spans="1:7" x14ac:dyDescent="0.25">
      <c r="A13" s="7" t="s">
        <v>88</v>
      </c>
      <c r="B13" s="11">
        <v>46286</v>
      </c>
      <c r="C13" s="3" t="s">
        <v>68</v>
      </c>
      <c r="D13" s="3" t="s">
        <v>69</v>
      </c>
      <c r="E13" s="4">
        <v>4500</v>
      </c>
      <c r="F13" s="3">
        <v>10</v>
      </c>
      <c r="G13" s="4">
        <f t="shared" si="0"/>
        <v>45000</v>
      </c>
    </row>
    <row r="14" spans="1:7" x14ac:dyDescent="0.25">
      <c r="A14" s="7" t="s">
        <v>89</v>
      </c>
      <c r="B14" s="11">
        <v>46287</v>
      </c>
      <c r="C14" s="3" t="s">
        <v>67</v>
      </c>
      <c r="D14" s="3" t="s">
        <v>26</v>
      </c>
      <c r="E14" s="4">
        <v>6000</v>
      </c>
      <c r="F14" s="3">
        <v>4</v>
      </c>
      <c r="G14" s="4">
        <f t="shared" si="0"/>
        <v>24000</v>
      </c>
    </row>
    <row r="15" spans="1:7" x14ac:dyDescent="0.25">
      <c r="A15" s="7" t="s">
        <v>90</v>
      </c>
      <c r="B15" s="11">
        <v>46288</v>
      </c>
      <c r="C15" s="3" t="s">
        <v>70</v>
      </c>
      <c r="D15" s="3" t="s">
        <v>77</v>
      </c>
      <c r="E15" s="4">
        <v>300</v>
      </c>
      <c r="F15" s="3">
        <v>10</v>
      </c>
      <c r="G15" s="4">
        <f t="shared" si="0"/>
        <v>3000</v>
      </c>
    </row>
    <row r="16" spans="1:7" x14ac:dyDescent="0.25">
      <c r="A16" s="7" t="s">
        <v>91</v>
      </c>
      <c r="B16" s="11">
        <v>46289</v>
      </c>
      <c r="C16" s="3" t="s">
        <v>71</v>
      </c>
      <c r="D16" s="3" t="s">
        <v>21</v>
      </c>
      <c r="E16" s="4">
        <v>3600</v>
      </c>
      <c r="F16" s="3">
        <v>2</v>
      </c>
      <c r="G16" s="4">
        <f t="shared" si="0"/>
        <v>7200</v>
      </c>
    </row>
    <row r="17" spans="1:7" x14ac:dyDescent="0.25">
      <c r="A17" s="7" t="s">
        <v>92</v>
      </c>
      <c r="B17" s="11">
        <v>46286</v>
      </c>
      <c r="C17" s="3" t="s">
        <v>72</v>
      </c>
      <c r="D17" s="3" t="s">
        <v>22</v>
      </c>
      <c r="E17" s="4">
        <v>2500</v>
      </c>
      <c r="F17" s="3">
        <v>1</v>
      </c>
      <c r="G17" s="4">
        <f t="shared" si="0"/>
        <v>2500</v>
      </c>
    </row>
    <row r="18" spans="1:7" x14ac:dyDescent="0.25">
      <c r="A18" s="7" t="s">
        <v>93</v>
      </c>
      <c r="B18" s="11">
        <v>46280</v>
      </c>
      <c r="C18" s="3" t="s">
        <v>73</v>
      </c>
      <c r="D18" s="3" t="s">
        <v>74</v>
      </c>
      <c r="E18" s="4">
        <v>2700</v>
      </c>
      <c r="F18" s="3">
        <v>3</v>
      </c>
      <c r="G18" s="4">
        <f t="shared" si="0"/>
        <v>8100</v>
      </c>
    </row>
    <row r="19" spans="1:7" x14ac:dyDescent="0.25">
      <c r="A19" s="7" t="s">
        <v>94</v>
      </c>
      <c r="B19" s="11">
        <v>46285</v>
      </c>
      <c r="C19" s="3" t="s">
        <v>16</v>
      </c>
      <c r="D19" s="3" t="s">
        <v>75</v>
      </c>
      <c r="E19" s="4">
        <v>500</v>
      </c>
      <c r="F19" s="3">
        <v>3</v>
      </c>
      <c r="G19" s="4">
        <f t="shared" si="0"/>
        <v>1500</v>
      </c>
    </row>
    <row r="20" spans="1:7" x14ac:dyDescent="0.25">
      <c r="A20" s="7" t="s">
        <v>95</v>
      </c>
      <c r="B20" s="11">
        <v>46293</v>
      </c>
      <c r="C20" s="3" t="s">
        <v>76</v>
      </c>
      <c r="D20" s="3" t="s">
        <v>23</v>
      </c>
      <c r="E20" s="4">
        <v>150</v>
      </c>
      <c r="F20" s="3">
        <v>5</v>
      </c>
      <c r="G20" s="4">
        <f t="shared" si="0"/>
        <v>750</v>
      </c>
    </row>
    <row r="21" spans="1:7" x14ac:dyDescent="0.25">
      <c r="A21" s="7" t="s">
        <v>96</v>
      </c>
      <c r="B21" s="11">
        <v>46294</v>
      </c>
      <c r="C21" s="3" t="s">
        <v>14</v>
      </c>
      <c r="D21" s="3" t="s">
        <v>22</v>
      </c>
      <c r="E21" s="4">
        <v>2500</v>
      </c>
      <c r="F21" s="3">
        <v>1</v>
      </c>
      <c r="G21" s="4">
        <f>E21*F21</f>
        <v>2500</v>
      </c>
    </row>
    <row r="22" spans="1:7" x14ac:dyDescent="0.25">
      <c r="A22" s="7" t="s">
        <v>97</v>
      </c>
      <c r="B22" s="11">
        <v>46287</v>
      </c>
      <c r="C22" s="3" t="s">
        <v>10</v>
      </c>
      <c r="D22" s="3" t="s">
        <v>75</v>
      </c>
      <c r="E22" s="4">
        <v>230</v>
      </c>
      <c r="F22" s="3">
        <v>3</v>
      </c>
      <c r="G22" s="4">
        <f t="shared" si="0"/>
        <v>690</v>
      </c>
    </row>
    <row r="23" spans="1:7" x14ac:dyDescent="0.25">
      <c r="A23" s="7" t="s">
        <v>98</v>
      </c>
      <c r="B23" s="11">
        <v>46288</v>
      </c>
      <c r="C23" s="3" t="s">
        <v>14</v>
      </c>
      <c r="D23" s="3" t="s">
        <v>22</v>
      </c>
      <c r="E23" s="4">
        <v>2500</v>
      </c>
      <c r="F23" s="3">
        <v>1</v>
      </c>
      <c r="G23" s="4">
        <f t="shared" si="0"/>
        <v>2500</v>
      </c>
    </row>
    <row r="24" spans="1:7" x14ac:dyDescent="0.25">
      <c r="A24" s="7" t="s">
        <v>83</v>
      </c>
      <c r="B24" s="11">
        <v>46282</v>
      </c>
      <c r="C24" s="3" t="s">
        <v>62</v>
      </c>
      <c r="D24" s="3" t="s">
        <v>24</v>
      </c>
      <c r="E24" s="4">
        <v>450</v>
      </c>
      <c r="F24" s="3">
        <v>8</v>
      </c>
      <c r="G24" s="4">
        <f t="shared" si="0"/>
        <v>3600</v>
      </c>
    </row>
    <row r="25" spans="1:7" x14ac:dyDescent="0.25">
      <c r="A25" s="7" t="s">
        <v>93</v>
      </c>
      <c r="B25" s="11">
        <v>46280</v>
      </c>
      <c r="C25" s="3" t="s">
        <v>73</v>
      </c>
      <c r="D25" s="3" t="s">
        <v>74</v>
      </c>
      <c r="E25" s="4">
        <v>2700</v>
      </c>
      <c r="F25" s="3">
        <v>3</v>
      </c>
      <c r="G25" s="4">
        <f t="shared" si="0"/>
        <v>8100</v>
      </c>
    </row>
  </sheetData>
  <mergeCells count="1">
    <mergeCell ref="A1:G1"/>
  </mergeCells>
  <phoneticPr fontId="3" type="noConversion"/>
  <conditionalFormatting sqref="G3:G2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">
      <colorScale>
        <cfvo type="min"/>
        <cfvo type="max"/>
        <color rgb="FFFCFCFF"/>
        <color rgb="FFF8696B"/>
      </colorScale>
    </cfRule>
  </conditionalFormatting>
  <conditionalFormatting sqref="B3:B25">
    <cfRule type="duplicateValues" dxfId="3" priority="4"/>
  </conditionalFormatting>
  <conditionalFormatting sqref="A3:A25">
    <cfRule type="duplicateValues" dxfId="2" priority="3"/>
  </conditionalFormatting>
  <conditionalFormatting sqref="O19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43767EF-5CA9-4F31-99B0-F520FF46281E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F3:F25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94E4-1731-4197-A181-ADBCDF523406}">
  <dimension ref="A1:G25"/>
  <sheetViews>
    <sheetView topLeftCell="A8" workbookViewId="0">
      <selection activeCell="J8" sqref="J8"/>
    </sheetView>
  </sheetViews>
  <sheetFormatPr defaultRowHeight="15" x14ac:dyDescent="0.25"/>
  <cols>
    <col min="2" max="2" width="10.42578125" bestFit="1" customWidth="1"/>
    <col min="3" max="3" width="11.85546875" bestFit="1" customWidth="1"/>
    <col min="4" max="4" width="12.5703125" bestFit="1" customWidth="1"/>
    <col min="5" max="5" width="9.7109375" bestFit="1" customWidth="1"/>
    <col min="7" max="7" width="13.140625" bestFit="1" customWidth="1"/>
  </cols>
  <sheetData>
    <row r="1" spans="1:7" ht="15.75" x14ac:dyDescent="0.25">
      <c r="A1" s="17" t="s">
        <v>125</v>
      </c>
      <c r="B1" s="18"/>
      <c r="C1" s="18"/>
      <c r="D1" s="18"/>
      <c r="E1" s="18"/>
      <c r="F1" s="18"/>
      <c r="G1" s="18"/>
    </row>
    <row r="2" spans="1:7" x14ac:dyDescent="0.25">
      <c r="A2" s="10" t="s">
        <v>100</v>
      </c>
      <c r="B2" s="10" t="s">
        <v>101</v>
      </c>
      <c r="C2" s="10" t="s">
        <v>3</v>
      </c>
      <c r="D2" s="10" t="s">
        <v>0</v>
      </c>
      <c r="E2" s="10" t="s">
        <v>59</v>
      </c>
      <c r="F2" s="10" t="s">
        <v>102</v>
      </c>
      <c r="G2" s="10" t="s">
        <v>103</v>
      </c>
    </row>
    <row r="3" spans="1:7" x14ac:dyDescent="0.25">
      <c r="A3" s="3" t="s">
        <v>104</v>
      </c>
      <c r="B3" s="11">
        <v>46273</v>
      </c>
      <c r="C3" s="3" t="s">
        <v>4</v>
      </c>
      <c r="D3" s="3" t="s">
        <v>22</v>
      </c>
      <c r="E3" s="4">
        <v>5000</v>
      </c>
      <c r="F3" s="3">
        <v>2</v>
      </c>
      <c r="G3" s="4">
        <f>E3*F3</f>
        <v>10000</v>
      </c>
    </row>
    <row r="4" spans="1:7" x14ac:dyDescent="0.25">
      <c r="A4" s="3" t="s">
        <v>105</v>
      </c>
      <c r="B4" s="11">
        <v>46274</v>
      </c>
      <c r="C4" s="3" t="s">
        <v>7</v>
      </c>
      <c r="D4" s="3" t="s">
        <v>21</v>
      </c>
      <c r="E4" s="4">
        <v>2000</v>
      </c>
      <c r="F4" s="3">
        <v>6</v>
      </c>
      <c r="G4" s="4">
        <f t="shared" ref="G4:G25" si="0">E4*F4</f>
        <v>12000</v>
      </c>
    </row>
    <row r="5" spans="1:7" x14ac:dyDescent="0.25">
      <c r="A5" s="3" t="s">
        <v>106</v>
      </c>
      <c r="B5" s="11">
        <v>46275</v>
      </c>
      <c r="C5" s="3" t="s">
        <v>61</v>
      </c>
      <c r="D5" s="3" t="s">
        <v>23</v>
      </c>
      <c r="E5" s="4">
        <v>25</v>
      </c>
      <c r="F5" s="3">
        <v>3</v>
      </c>
      <c r="G5" s="4">
        <f t="shared" si="0"/>
        <v>75</v>
      </c>
    </row>
    <row r="6" spans="1:7" x14ac:dyDescent="0.25">
      <c r="A6" s="3" t="s">
        <v>107</v>
      </c>
      <c r="B6" s="11">
        <v>46276</v>
      </c>
      <c r="C6" s="3" t="s">
        <v>19</v>
      </c>
      <c r="D6" s="3" t="s">
        <v>21</v>
      </c>
      <c r="E6" s="4">
        <v>3500</v>
      </c>
      <c r="F6" s="3">
        <v>1</v>
      </c>
      <c r="G6" s="4">
        <f t="shared" si="0"/>
        <v>3500</v>
      </c>
    </row>
    <row r="7" spans="1:7" x14ac:dyDescent="0.25">
      <c r="A7" s="3" t="s">
        <v>105</v>
      </c>
      <c r="B7" s="11">
        <v>46274</v>
      </c>
      <c r="C7" s="3" t="s">
        <v>7</v>
      </c>
      <c r="D7" s="3" t="s">
        <v>21</v>
      </c>
      <c r="E7" s="4">
        <v>2000</v>
      </c>
      <c r="F7" s="3">
        <v>6</v>
      </c>
      <c r="G7" s="4">
        <f t="shared" si="0"/>
        <v>12000</v>
      </c>
    </row>
    <row r="8" spans="1:7" x14ac:dyDescent="0.25">
      <c r="A8" s="3" t="s">
        <v>108</v>
      </c>
      <c r="B8" s="11">
        <v>46278</v>
      </c>
      <c r="C8" s="3" t="s">
        <v>62</v>
      </c>
      <c r="D8" s="3" t="s">
        <v>24</v>
      </c>
      <c r="E8" s="4">
        <v>450</v>
      </c>
      <c r="F8" s="3">
        <v>10</v>
      </c>
      <c r="G8" s="4">
        <f t="shared" si="0"/>
        <v>4500</v>
      </c>
    </row>
    <row r="9" spans="1:7" x14ac:dyDescent="0.25">
      <c r="A9" s="3" t="s">
        <v>109</v>
      </c>
      <c r="B9" s="11">
        <v>46279</v>
      </c>
      <c r="C9" s="3" t="s">
        <v>61</v>
      </c>
      <c r="D9" s="3" t="s">
        <v>23</v>
      </c>
      <c r="E9" s="4">
        <v>25</v>
      </c>
      <c r="F9" s="3">
        <v>15</v>
      </c>
      <c r="G9" s="4">
        <f t="shared" si="0"/>
        <v>375</v>
      </c>
    </row>
    <row r="10" spans="1:7" x14ac:dyDescent="0.25">
      <c r="A10" s="3" t="s">
        <v>110</v>
      </c>
      <c r="B10" s="11">
        <v>46280</v>
      </c>
      <c r="C10" s="3" t="s">
        <v>63</v>
      </c>
      <c r="D10" s="3" t="s">
        <v>64</v>
      </c>
      <c r="E10" s="4">
        <v>1500</v>
      </c>
      <c r="F10" s="3">
        <v>4</v>
      </c>
      <c r="G10" s="4">
        <f t="shared" si="0"/>
        <v>6000</v>
      </c>
    </row>
    <row r="11" spans="1:7" x14ac:dyDescent="0.25">
      <c r="A11" s="3" t="s">
        <v>111</v>
      </c>
      <c r="B11" s="11">
        <v>46281</v>
      </c>
      <c r="C11" s="3" t="s">
        <v>65</v>
      </c>
      <c r="D11" s="3" t="s">
        <v>66</v>
      </c>
      <c r="E11" s="4">
        <v>60</v>
      </c>
      <c r="F11" s="3">
        <v>10</v>
      </c>
      <c r="G11" s="4">
        <f t="shared" si="0"/>
        <v>600</v>
      </c>
    </row>
    <row r="12" spans="1:7" x14ac:dyDescent="0.25">
      <c r="A12" s="3" t="s">
        <v>112</v>
      </c>
      <c r="B12" s="11">
        <v>46282</v>
      </c>
      <c r="C12" s="3" t="s">
        <v>67</v>
      </c>
      <c r="D12" s="3" t="s">
        <v>26</v>
      </c>
      <c r="E12" s="4">
        <v>6000</v>
      </c>
      <c r="F12" s="3">
        <v>2</v>
      </c>
      <c r="G12" s="4">
        <f t="shared" si="0"/>
        <v>12000</v>
      </c>
    </row>
    <row r="13" spans="1:7" x14ac:dyDescent="0.25">
      <c r="A13" s="3" t="s">
        <v>113</v>
      </c>
      <c r="B13" s="11">
        <v>46283</v>
      </c>
      <c r="C13" s="3" t="s">
        <v>68</v>
      </c>
      <c r="D13" s="3" t="s">
        <v>69</v>
      </c>
      <c r="E13" s="4">
        <v>4500</v>
      </c>
      <c r="F13" s="3">
        <v>3</v>
      </c>
      <c r="G13" s="4">
        <f t="shared" si="0"/>
        <v>13500</v>
      </c>
    </row>
    <row r="14" spans="1:7" x14ac:dyDescent="0.25">
      <c r="A14" s="3" t="s">
        <v>114</v>
      </c>
      <c r="B14" s="11">
        <v>46284</v>
      </c>
      <c r="C14" s="3" t="s">
        <v>67</v>
      </c>
      <c r="D14" s="3" t="s">
        <v>26</v>
      </c>
      <c r="E14" s="4">
        <v>6000</v>
      </c>
      <c r="F14" s="3">
        <v>5</v>
      </c>
      <c r="G14" s="4">
        <f t="shared" si="0"/>
        <v>30000</v>
      </c>
    </row>
    <row r="15" spans="1:7" x14ac:dyDescent="0.25">
      <c r="A15" s="3" t="s">
        <v>115</v>
      </c>
      <c r="B15" s="11">
        <v>46285</v>
      </c>
      <c r="C15" s="3" t="s">
        <v>70</v>
      </c>
      <c r="D15" s="3" t="s">
        <v>77</v>
      </c>
      <c r="E15" s="4">
        <v>300</v>
      </c>
      <c r="F15" s="3">
        <v>6</v>
      </c>
      <c r="G15" s="4">
        <f t="shared" si="0"/>
        <v>1800</v>
      </c>
    </row>
    <row r="16" spans="1:7" x14ac:dyDescent="0.25">
      <c r="A16" s="3" t="s">
        <v>116</v>
      </c>
      <c r="B16" s="11">
        <v>46286</v>
      </c>
      <c r="C16" s="3" t="s">
        <v>71</v>
      </c>
      <c r="D16" s="3" t="s">
        <v>21</v>
      </c>
      <c r="E16" s="4">
        <v>3600</v>
      </c>
      <c r="F16" s="3">
        <v>4</v>
      </c>
      <c r="G16" s="4">
        <f t="shared" si="0"/>
        <v>14400</v>
      </c>
    </row>
    <row r="17" spans="1:7" x14ac:dyDescent="0.25">
      <c r="A17" s="3" t="s">
        <v>111</v>
      </c>
      <c r="B17" s="11">
        <v>46281</v>
      </c>
      <c r="C17" s="3" t="s">
        <v>65</v>
      </c>
      <c r="D17" s="3" t="s">
        <v>66</v>
      </c>
      <c r="E17" s="4">
        <v>60</v>
      </c>
      <c r="F17" s="3">
        <v>10</v>
      </c>
      <c r="G17" s="4">
        <f t="shared" si="0"/>
        <v>600</v>
      </c>
    </row>
    <row r="18" spans="1:7" x14ac:dyDescent="0.25">
      <c r="A18" s="3" t="s">
        <v>117</v>
      </c>
      <c r="B18" s="11">
        <v>46288</v>
      </c>
      <c r="C18" s="3" t="s">
        <v>73</v>
      </c>
      <c r="D18" s="3" t="s">
        <v>74</v>
      </c>
      <c r="E18" s="4">
        <v>2700</v>
      </c>
      <c r="F18" s="3">
        <v>3</v>
      </c>
      <c r="G18" s="4">
        <f t="shared" si="0"/>
        <v>8100</v>
      </c>
    </row>
    <row r="19" spans="1:7" x14ac:dyDescent="0.25">
      <c r="A19" s="3" t="s">
        <v>118</v>
      </c>
      <c r="B19" s="11">
        <v>46289</v>
      </c>
      <c r="C19" s="3" t="s">
        <v>16</v>
      </c>
      <c r="D19" s="3" t="s">
        <v>75</v>
      </c>
      <c r="E19" s="4">
        <v>500</v>
      </c>
      <c r="F19" s="3">
        <v>5</v>
      </c>
      <c r="G19" s="4">
        <f t="shared" si="0"/>
        <v>2500</v>
      </c>
    </row>
    <row r="20" spans="1:7" x14ac:dyDescent="0.25">
      <c r="A20" s="3" t="s">
        <v>119</v>
      </c>
      <c r="B20" s="11">
        <v>46290</v>
      </c>
      <c r="C20" s="3" t="s">
        <v>76</v>
      </c>
      <c r="D20" s="3" t="s">
        <v>23</v>
      </c>
      <c r="E20" s="4">
        <v>150</v>
      </c>
      <c r="F20" s="3">
        <v>1</v>
      </c>
      <c r="G20" s="4">
        <f t="shared" si="0"/>
        <v>150</v>
      </c>
    </row>
    <row r="21" spans="1:7" x14ac:dyDescent="0.25">
      <c r="A21" s="3" t="s">
        <v>120</v>
      </c>
      <c r="B21" s="11">
        <v>46291</v>
      </c>
      <c r="C21" s="3" t="s">
        <v>14</v>
      </c>
      <c r="D21" s="3" t="s">
        <v>22</v>
      </c>
      <c r="E21" s="4">
        <v>2500</v>
      </c>
      <c r="F21" s="3">
        <v>3</v>
      </c>
      <c r="G21" s="4">
        <f t="shared" si="0"/>
        <v>7500</v>
      </c>
    </row>
    <row r="22" spans="1:7" x14ac:dyDescent="0.25">
      <c r="A22" s="3" t="s">
        <v>121</v>
      </c>
      <c r="B22" s="11">
        <v>46292</v>
      </c>
      <c r="C22" s="3" t="s">
        <v>10</v>
      </c>
      <c r="D22" s="3" t="s">
        <v>75</v>
      </c>
      <c r="E22" s="4">
        <v>230</v>
      </c>
      <c r="F22" s="3">
        <v>2</v>
      </c>
      <c r="G22" s="4">
        <f t="shared" si="0"/>
        <v>460</v>
      </c>
    </row>
    <row r="23" spans="1:7" x14ac:dyDescent="0.25">
      <c r="A23" s="3" t="s">
        <v>122</v>
      </c>
      <c r="B23" s="11">
        <v>46293</v>
      </c>
      <c r="C23" s="3" t="s">
        <v>14</v>
      </c>
      <c r="D23" s="3" t="s">
        <v>22</v>
      </c>
      <c r="E23" s="4">
        <v>2500</v>
      </c>
      <c r="F23" s="3">
        <v>4</v>
      </c>
      <c r="G23" s="4">
        <f t="shared" si="0"/>
        <v>10000</v>
      </c>
    </row>
    <row r="24" spans="1:7" x14ac:dyDescent="0.25">
      <c r="A24" s="3" t="s">
        <v>123</v>
      </c>
      <c r="B24" s="11">
        <v>46294</v>
      </c>
      <c r="C24" s="3" t="s">
        <v>62</v>
      </c>
      <c r="D24" s="3" t="s">
        <v>24</v>
      </c>
      <c r="E24" s="4">
        <v>550</v>
      </c>
      <c r="F24" s="3">
        <v>3</v>
      </c>
      <c r="G24" s="4">
        <f t="shared" si="0"/>
        <v>1650</v>
      </c>
    </row>
    <row r="25" spans="1:7" x14ac:dyDescent="0.25">
      <c r="A25" s="3" t="s">
        <v>117</v>
      </c>
      <c r="B25" s="11">
        <v>46288</v>
      </c>
      <c r="C25" s="3" t="s">
        <v>73</v>
      </c>
      <c r="D25" s="3" t="s">
        <v>74</v>
      </c>
      <c r="E25" s="4">
        <v>2700</v>
      </c>
      <c r="F25" s="3">
        <v>1</v>
      </c>
      <c r="G25" s="4">
        <f t="shared" si="0"/>
        <v>2700</v>
      </c>
    </row>
  </sheetData>
  <mergeCells count="1">
    <mergeCell ref="A1:G1"/>
  </mergeCells>
  <phoneticPr fontId="3" type="noConversion"/>
  <conditionalFormatting sqref="A1:G25">
    <cfRule type="duplicateValues" dxfId="26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DC63-8FD5-4414-90F6-3E37791C0D75}">
  <dimension ref="A1:H26"/>
  <sheetViews>
    <sheetView workbookViewId="0">
      <selection activeCell="C8" sqref="C8"/>
    </sheetView>
  </sheetViews>
  <sheetFormatPr defaultRowHeight="15" x14ac:dyDescent="0.25"/>
  <cols>
    <col min="2" max="2" width="12.85546875" bestFit="1" customWidth="1"/>
    <col min="3" max="3" width="11.85546875" bestFit="1" customWidth="1"/>
    <col min="4" max="4" width="12.5703125" bestFit="1" customWidth="1"/>
    <col min="5" max="5" width="9.7109375" bestFit="1" customWidth="1"/>
    <col min="7" max="7" width="13.140625" bestFit="1" customWidth="1"/>
    <col min="8" max="8" width="16.5703125" bestFit="1" customWidth="1"/>
  </cols>
  <sheetData>
    <row r="1" spans="1:8" ht="15.75" x14ac:dyDescent="0.25">
      <c r="A1" s="19" t="s">
        <v>124</v>
      </c>
      <c r="B1" s="20"/>
      <c r="C1" s="20"/>
      <c r="D1" s="20"/>
      <c r="E1" s="20"/>
      <c r="F1" s="20"/>
      <c r="G1" s="20"/>
      <c r="H1" s="5"/>
    </row>
    <row r="2" spans="1:8" x14ac:dyDescent="0.25">
      <c r="A2" s="10" t="s">
        <v>100</v>
      </c>
      <c r="B2" s="10" t="s">
        <v>126</v>
      </c>
      <c r="C2" s="10" t="s">
        <v>3</v>
      </c>
      <c r="D2" s="10" t="s">
        <v>0</v>
      </c>
      <c r="E2" s="10" t="s">
        <v>59</v>
      </c>
      <c r="F2" s="10" t="s">
        <v>102</v>
      </c>
      <c r="G2" s="10" t="s">
        <v>103</v>
      </c>
      <c r="H2" s="10" t="s">
        <v>127</v>
      </c>
    </row>
    <row r="3" spans="1:8" x14ac:dyDescent="0.25">
      <c r="A3" s="3" t="s">
        <v>104</v>
      </c>
      <c r="B3" s="11">
        <v>46273</v>
      </c>
      <c r="C3" s="3" t="s">
        <v>4</v>
      </c>
      <c r="D3" s="3" t="s">
        <v>22</v>
      </c>
      <c r="E3" s="4">
        <v>5000</v>
      </c>
      <c r="F3" s="3">
        <v>2</v>
      </c>
      <c r="G3" s="4">
        <f>E3*F3</f>
        <v>10000</v>
      </c>
      <c r="H3" s="11">
        <v>46275</v>
      </c>
    </row>
    <row r="4" spans="1:8" x14ac:dyDescent="0.25">
      <c r="A4" s="3" t="s">
        <v>105</v>
      </c>
      <c r="B4" s="11">
        <v>46274</v>
      </c>
      <c r="C4" s="3" t="s">
        <v>7</v>
      </c>
      <c r="D4" s="3" t="s">
        <v>21</v>
      </c>
      <c r="E4" s="4">
        <v>2000</v>
      </c>
      <c r="F4" s="3">
        <v>6</v>
      </c>
      <c r="G4" s="4">
        <f t="shared" ref="G4:G25" si="0">E4*F4</f>
        <v>12000</v>
      </c>
      <c r="H4" s="11">
        <v>46276</v>
      </c>
    </row>
    <row r="5" spans="1:8" x14ac:dyDescent="0.25">
      <c r="A5" s="3" t="s">
        <v>106</v>
      </c>
      <c r="B5" s="11">
        <v>46275</v>
      </c>
      <c r="C5" s="3" t="s">
        <v>61</v>
      </c>
      <c r="D5" s="3" t="s">
        <v>23</v>
      </c>
      <c r="E5" s="4">
        <v>25</v>
      </c>
      <c r="F5" s="3">
        <v>3</v>
      </c>
      <c r="G5" s="4">
        <f t="shared" si="0"/>
        <v>75</v>
      </c>
      <c r="H5" s="11">
        <v>46289</v>
      </c>
    </row>
    <row r="6" spans="1:8" x14ac:dyDescent="0.25">
      <c r="A6" s="3" t="s">
        <v>107</v>
      </c>
      <c r="B6" s="11">
        <v>46276</v>
      </c>
      <c r="C6" s="3" t="s">
        <v>19</v>
      </c>
      <c r="D6" s="3" t="s">
        <v>21</v>
      </c>
      <c r="E6" s="4">
        <v>3500</v>
      </c>
      <c r="F6" s="3">
        <v>1</v>
      </c>
      <c r="G6" s="4">
        <f t="shared" si="0"/>
        <v>3500</v>
      </c>
      <c r="H6" s="11">
        <v>46278</v>
      </c>
    </row>
    <row r="7" spans="1:8" x14ac:dyDescent="0.25">
      <c r="A7" s="3" t="s">
        <v>105</v>
      </c>
      <c r="B7" s="11">
        <v>46274</v>
      </c>
      <c r="C7" s="3" t="s">
        <v>7</v>
      </c>
      <c r="D7" s="3" t="s">
        <v>21</v>
      </c>
      <c r="E7" s="4">
        <v>2000</v>
      </c>
      <c r="F7" s="3">
        <v>6</v>
      </c>
      <c r="G7" s="4">
        <f t="shared" si="0"/>
        <v>12000</v>
      </c>
      <c r="H7" s="11">
        <v>46276</v>
      </c>
    </row>
    <row r="8" spans="1:8" x14ac:dyDescent="0.25">
      <c r="A8" s="3" t="s">
        <v>108</v>
      </c>
      <c r="B8" s="11">
        <v>46278</v>
      </c>
      <c r="C8" s="3" t="s">
        <v>62</v>
      </c>
      <c r="D8" s="3" t="s">
        <v>24</v>
      </c>
      <c r="E8" s="4">
        <v>450</v>
      </c>
      <c r="F8" s="3">
        <v>10</v>
      </c>
      <c r="G8" s="4">
        <f t="shared" si="0"/>
        <v>4500</v>
      </c>
      <c r="H8" s="11">
        <v>46288</v>
      </c>
    </row>
    <row r="9" spans="1:8" x14ac:dyDescent="0.25">
      <c r="A9" s="3" t="s">
        <v>109</v>
      </c>
      <c r="B9" s="11">
        <v>46279</v>
      </c>
      <c r="C9" s="3" t="s">
        <v>61</v>
      </c>
      <c r="D9" s="3" t="s">
        <v>23</v>
      </c>
      <c r="E9" s="4">
        <v>25</v>
      </c>
      <c r="F9" s="3">
        <v>15</v>
      </c>
      <c r="G9" s="4">
        <f t="shared" si="0"/>
        <v>375</v>
      </c>
      <c r="H9" s="11">
        <v>46281</v>
      </c>
    </row>
    <row r="10" spans="1:8" x14ac:dyDescent="0.25">
      <c r="A10" s="3" t="s">
        <v>110</v>
      </c>
      <c r="B10" s="11">
        <v>46280</v>
      </c>
      <c r="C10" s="3" t="s">
        <v>63</v>
      </c>
      <c r="D10" s="3" t="s">
        <v>64</v>
      </c>
      <c r="E10" s="4">
        <v>1500</v>
      </c>
      <c r="F10" s="3">
        <v>4</v>
      </c>
      <c r="G10" s="4">
        <f t="shared" si="0"/>
        <v>6000</v>
      </c>
      <c r="H10" s="11">
        <v>46290</v>
      </c>
    </row>
    <row r="11" spans="1:8" x14ac:dyDescent="0.25">
      <c r="A11" s="3" t="s">
        <v>111</v>
      </c>
      <c r="B11" s="11">
        <v>46281</v>
      </c>
      <c r="C11" s="3" t="s">
        <v>65</v>
      </c>
      <c r="D11" s="3" t="s">
        <v>66</v>
      </c>
      <c r="E11" s="4">
        <v>60</v>
      </c>
      <c r="F11" s="3">
        <v>10</v>
      </c>
      <c r="G11" s="4">
        <f t="shared" si="0"/>
        <v>600</v>
      </c>
      <c r="H11" s="11">
        <v>46283</v>
      </c>
    </row>
    <row r="12" spans="1:8" x14ac:dyDescent="0.25">
      <c r="A12" s="3" t="s">
        <v>112</v>
      </c>
      <c r="B12" s="11">
        <v>46282</v>
      </c>
      <c r="C12" s="3" t="s">
        <v>67</v>
      </c>
      <c r="D12" s="3" t="s">
        <v>26</v>
      </c>
      <c r="E12" s="4">
        <v>6000</v>
      </c>
      <c r="F12" s="3">
        <v>2</v>
      </c>
      <c r="G12" s="4">
        <f t="shared" si="0"/>
        <v>12000</v>
      </c>
      <c r="H12" s="11">
        <v>46288</v>
      </c>
    </row>
    <row r="13" spans="1:8" x14ac:dyDescent="0.25">
      <c r="A13" s="3" t="s">
        <v>113</v>
      </c>
      <c r="B13" s="11">
        <v>46283</v>
      </c>
      <c r="C13" s="3" t="s">
        <v>68</v>
      </c>
      <c r="D13" s="3" t="s">
        <v>69</v>
      </c>
      <c r="E13" s="4">
        <v>4500</v>
      </c>
      <c r="F13" s="3">
        <v>3</v>
      </c>
      <c r="G13" s="4">
        <f t="shared" si="0"/>
        <v>13500</v>
      </c>
      <c r="H13" s="11">
        <v>46289</v>
      </c>
    </row>
    <row r="14" spans="1:8" x14ac:dyDescent="0.25">
      <c r="A14" s="3" t="s">
        <v>114</v>
      </c>
      <c r="B14" s="11">
        <v>46284</v>
      </c>
      <c r="C14" s="3" t="s">
        <v>67</v>
      </c>
      <c r="D14" s="3" t="s">
        <v>26</v>
      </c>
      <c r="E14" s="4">
        <v>6000</v>
      </c>
      <c r="F14" s="3">
        <v>5</v>
      </c>
      <c r="G14" s="4">
        <f t="shared" si="0"/>
        <v>30000</v>
      </c>
      <c r="H14" s="11">
        <v>46286</v>
      </c>
    </row>
    <row r="15" spans="1:8" x14ac:dyDescent="0.25">
      <c r="A15" s="3" t="s">
        <v>115</v>
      </c>
      <c r="B15" s="11">
        <v>46285</v>
      </c>
      <c r="C15" s="3" t="s">
        <v>70</v>
      </c>
      <c r="D15" s="3" t="s">
        <v>77</v>
      </c>
      <c r="E15" s="4">
        <v>300</v>
      </c>
      <c r="F15" s="3">
        <v>6</v>
      </c>
      <c r="G15" s="4">
        <f t="shared" si="0"/>
        <v>1800</v>
      </c>
      <c r="H15" s="11">
        <v>46287</v>
      </c>
    </row>
    <row r="16" spans="1:8" x14ac:dyDescent="0.25">
      <c r="A16" s="3" t="s">
        <v>116</v>
      </c>
      <c r="B16" s="11">
        <v>46286</v>
      </c>
      <c r="C16" s="3" t="s">
        <v>71</v>
      </c>
      <c r="D16" s="3" t="s">
        <v>21</v>
      </c>
      <c r="E16" s="4">
        <v>3600</v>
      </c>
      <c r="F16" s="3">
        <v>4</v>
      </c>
      <c r="G16" s="4">
        <f t="shared" si="0"/>
        <v>14400</v>
      </c>
      <c r="H16" s="11">
        <v>46288</v>
      </c>
    </row>
    <row r="17" spans="1:8" x14ac:dyDescent="0.25">
      <c r="A17" s="3" t="s">
        <v>111</v>
      </c>
      <c r="B17" s="11">
        <v>46281</v>
      </c>
      <c r="C17" s="3" t="s">
        <v>65</v>
      </c>
      <c r="D17" s="3" t="s">
        <v>66</v>
      </c>
      <c r="E17" s="4">
        <v>60</v>
      </c>
      <c r="F17" s="3">
        <v>10</v>
      </c>
      <c r="G17" s="4">
        <f t="shared" si="0"/>
        <v>600</v>
      </c>
      <c r="H17" s="11">
        <v>46283</v>
      </c>
    </row>
    <row r="18" spans="1:8" x14ac:dyDescent="0.25">
      <c r="A18" s="3" t="s">
        <v>117</v>
      </c>
      <c r="B18" s="11">
        <v>46288</v>
      </c>
      <c r="C18" s="3" t="s">
        <v>73</v>
      </c>
      <c r="D18" s="3" t="s">
        <v>74</v>
      </c>
      <c r="E18" s="4">
        <v>2700</v>
      </c>
      <c r="F18" s="3">
        <v>3</v>
      </c>
      <c r="G18" s="4">
        <f t="shared" si="0"/>
        <v>8100</v>
      </c>
      <c r="H18" s="11">
        <v>46290</v>
      </c>
    </row>
    <row r="19" spans="1:8" x14ac:dyDescent="0.25">
      <c r="A19" s="3" t="s">
        <v>118</v>
      </c>
      <c r="B19" s="11">
        <v>46289</v>
      </c>
      <c r="C19" s="3" t="s">
        <v>16</v>
      </c>
      <c r="D19" s="3" t="s">
        <v>75</v>
      </c>
      <c r="E19" s="4">
        <v>500</v>
      </c>
      <c r="F19" s="3">
        <v>5</v>
      </c>
      <c r="G19" s="4">
        <f t="shared" si="0"/>
        <v>2500</v>
      </c>
      <c r="H19" s="11">
        <v>46291</v>
      </c>
    </row>
    <row r="20" spans="1:8" x14ac:dyDescent="0.25">
      <c r="A20" s="3" t="s">
        <v>119</v>
      </c>
      <c r="B20" s="11">
        <v>46290</v>
      </c>
      <c r="C20" s="3" t="s">
        <v>76</v>
      </c>
      <c r="D20" s="3" t="s">
        <v>23</v>
      </c>
      <c r="E20" s="4">
        <v>150</v>
      </c>
      <c r="F20" s="3">
        <v>1</v>
      </c>
      <c r="G20" s="4">
        <f t="shared" si="0"/>
        <v>150</v>
      </c>
      <c r="H20" s="11">
        <v>46292</v>
      </c>
    </row>
    <row r="21" spans="1:8" x14ac:dyDescent="0.25">
      <c r="A21" s="3" t="s">
        <v>120</v>
      </c>
      <c r="B21" s="11">
        <v>46291</v>
      </c>
      <c r="C21" s="3" t="s">
        <v>14</v>
      </c>
      <c r="D21" s="3" t="s">
        <v>22</v>
      </c>
      <c r="E21" s="4">
        <v>2500</v>
      </c>
      <c r="F21" s="3">
        <v>3</v>
      </c>
      <c r="G21" s="4">
        <f t="shared" si="0"/>
        <v>7500</v>
      </c>
      <c r="H21" s="11">
        <v>46289</v>
      </c>
    </row>
    <row r="22" spans="1:8" x14ac:dyDescent="0.25">
      <c r="A22" s="3" t="s">
        <v>121</v>
      </c>
      <c r="B22" s="11">
        <v>46292</v>
      </c>
      <c r="C22" s="3" t="s">
        <v>10</v>
      </c>
      <c r="D22" s="3" t="s">
        <v>75</v>
      </c>
      <c r="E22" s="4">
        <v>230</v>
      </c>
      <c r="F22" s="3">
        <v>2</v>
      </c>
      <c r="G22" s="4">
        <f t="shared" si="0"/>
        <v>460</v>
      </c>
      <c r="H22" s="11">
        <v>46294</v>
      </c>
    </row>
    <row r="23" spans="1:8" x14ac:dyDescent="0.25">
      <c r="A23" s="3" t="s">
        <v>122</v>
      </c>
      <c r="B23" s="11">
        <v>46293</v>
      </c>
      <c r="C23" s="3" t="s">
        <v>14</v>
      </c>
      <c r="D23" s="3" t="s">
        <v>22</v>
      </c>
      <c r="E23" s="4">
        <v>2500</v>
      </c>
      <c r="F23" s="3">
        <v>4</v>
      </c>
      <c r="G23" s="4">
        <f t="shared" si="0"/>
        <v>10000</v>
      </c>
      <c r="H23" s="11">
        <v>46295</v>
      </c>
    </row>
    <row r="24" spans="1:8" x14ac:dyDescent="0.25">
      <c r="A24" s="3" t="s">
        <v>123</v>
      </c>
      <c r="B24" s="11">
        <v>46294</v>
      </c>
      <c r="C24" s="3" t="s">
        <v>62</v>
      </c>
      <c r="D24" s="3" t="s">
        <v>24</v>
      </c>
      <c r="E24" s="4">
        <v>550</v>
      </c>
      <c r="F24" s="3">
        <v>3</v>
      </c>
      <c r="G24" s="4">
        <f t="shared" si="0"/>
        <v>1650</v>
      </c>
      <c r="H24" s="11">
        <v>46296</v>
      </c>
    </row>
    <row r="25" spans="1:8" x14ac:dyDescent="0.25">
      <c r="A25" s="3" t="s">
        <v>117</v>
      </c>
      <c r="B25" s="11">
        <v>46288</v>
      </c>
      <c r="C25" s="3" t="s">
        <v>73</v>
      </c>
      <c r="D25" s="3" t="s">
        <v>74</v>
      </c>
      <c r="E25" s="4">
        <v>2700</v>
      </c>
      <c r="F25" s="3">
        <v>1</v>
      </c>
      <c r="G25" s="4">
        <f t="shared" si="0"/>
        <v>2700</v>
      </c>
      <c r="H25" s="11">
        <v>46290</v>
      </c>
    </row>
    <row r="26" spans="1:8" x14ac:dyDescent="0.25">
      <c r="D26" s="22" t="s">
        <v>129</v>
      </c>
      <c r="E26" s="22"/>
      <c r="F26" s="2">
        <f>SUM(F3:F25)*10/100</f>
        <v>10.9</v>
      </c>
      <c r="G26" s="21">
        <f>SUM(G3:G25)/23</f>
        <v>6713.478260869565</v>
      </c>
      <c r="H26" s="2" t="s">
        <v>128</v>
      </c>
    </row>
  </sheetData>
  <mergeCells count="2">
    <mergeCell ref="A1:G1"/>
    <mergeCell ref="D26:E26"/>
  </mergeCells>
  <conditionalFormatting sqref="H3:H25">
    <cfRule type="timePeriod" dxfId="18" priority="9" timePeriod="tomorrow">
      <formula>FLOOR(H3,1)=TODAY()+1</formula>
    </cfRule>
    <cfRule type="timePeriod" dxfId="17" priority="8" timePeriod="today">
      <formula>FLOOR(H3,1)=TODAY()</formula>
    </cfRule>
    <cfRule type="timePeriod" dxfId="16" priority="7" timePeriod="yesterday">
      <formula>FLOOR(H3,1)=TODAY()-1</formula>
    </cfRule>
  </conditionalFormatting>
  <conditionalFormatting sqref="G3:G24">
    <cfRule type="aboveAverage" dxfId="15" priority="6"/>
  </conditionalFormatting>
  <conditionalFormatting sqref="G3:G25">
    <cfRule type="aboveAverage" dxfId="14" priority="5" aboveAverage="0"/>
  </conditionalFormatting>
  <conditionalFormatting sqref="F3:F25">
    <cfRule type="top10" dxfId="13" priority="4" percent="1" bottom="1" rank="10"/>
    <cfRule type="top10" dxfId="12" priority="3" percent="1" rank="10"/>
  </conditionalFormatting>
  <conditionalFormatting sqref="E3:E2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{D21E66B3-7424-4086-BA48-8DA671C0F07E}</x14:id>
        </ext>
      </extLst>
    </cfRule>
  </conditionalFormatting>
  <conditionalFormatting sqref="A3:A25">
    <cfRule type="duplicateValues" dxfId="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1E66B3-7424-4086-BA48-8DA671C0F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4A02-7B2A-403A-87E8-16025DA947E3}">
  <dimension ref="A1:H25"/>
  <sheetViews>
    <sheetView workbookViewId="0">
      <selection activeCell="L9" sqref="L9"/>
    </sheetView>
  </sheetViews>
  <sheetFormatPr defaultRowHeight="15" x14ac:dyDescent="0.25"/>
  <cols>
    <col min="2" max="2" width="13.140625" bestFit="1" customWidth="1"/>
    <col min="3" max="3" width="11.85546875" bestFit="1" customWidth="1"/>
    <col min="4" max="4" width="12.5703125" bestFit="1" customWidth="1"/>
    <col min="5" max="5" width="9.7109375" bestFit="1" customWidth="1"/>
    <col min="6" max="6" width="3.85546875" bestFit="1" customWidth="1"/>
    <col min="7" max="7" width="13.140625" bestFit="1" customWidth="1"/>
    <col min="8" max="8" width="16.5703125" bestFit="1" customWidth="1"/>
  </cols>
  <sheetData>
    <row r="1" spans="1:8" ht="15.75" x14ac:dyDescent="0.25">
      <c r="A1" s="19" t="s">
        <v>124</v>
      </c>
      <c r="B1" s="20"/>
      <c r="C1" s="20"/>
      <c r="D1" s="20"/>
      <c r="E1" s="20"/>
      <c r="F1" s="20"/>
      <c r="G1" s="20"/>
      <c r="H1" s="5"/>
    </row>
    <row r="2" spans="1:8" x14ac:dyDescent="0.25">
      <c r="A2" s="10" t="s">
        <v>100</v>
      </c>
      <c r="B2" s="10" t="s">
        <v>126</v>
      </c>
      <c r="C2" s="10" t="s">
        <v>3</v>
      </c>
      <c r="D2" s="10" t="s">
        <v>0</v>
      </c>
      <c r="E2" s="10" t="s">
        <v>59</v>
      </c>
      <c r="F2" s="10" t="s">
        <v>102</v>
      </c>
      <c r="G2" s="10" t="s">
        <v>103</v>
      </c>
      <c r="H2" s="10" t="s">
        <v>127</v>
      </c>
    </row>
    <row r="3" spans="1:8" x14ac:dyDescent="0.25">
      <c r="A3" s="3" t="s">
        <v>104</v>
      </c>
      <c r="B3" s="11">
        <v>46273</v>
      </c>
      <c r="C3" s="3" t="s">
        <v>4</v>
      </c>
      <c r="D3" s="3" t="s">
        <v>22</v>
      </c>
      <c r="E3" s="4">
        <v>5000</v>
      </c>
      <c r="F3" s="3">
        <v>2</v>
      </c>
      <c r="G3" s="4">
        <f>E3*F3</f>
        <v>10000</v>
      </c>
      <c r="H3" s="11">
        <v>46275</v>
      </c>
    </row>
    <row r="4" spans="1:8" x14ac:dyDescent="0.25">
      <c r="A4" s="3" t="s">
        <v>105</v>
      </c>
      <c r="B4" s="11">
        <v>46274</v>
      </c>
      <c r="C4" s="3" t="s">
        <v>7</v>
      </c>
      <c r="D4" s="3" t="s">
        <v>21</v>
      </c>
      <c r="E4" s="4">
        <v>2000</v>
      </c>
      <c r="F4" s="3">
        <v>6</v>
      </c>
      <c r="G4" s="4">
        <f t="shared" ref="G4:G25" si="0">E4*F4</f>
        <v>12000</v>
      </c>
      <c r="H4" s="11">
        <v>46276</v>
      </c>
    </row>
    <row r="5" spans="1:8" x14ac:dyDescent="0.25">
      <c r="A5" s="3" t="s">
        <v>106</v>
      </c>
      <c r="B5" s="11">
        <v>46275</v>
      </c>
      <c r="C5" s="3" t="s">
        <v>61</v>
      </c>
      <c r="D5" s="3" t="s">
        <v>23</v>
      </c>
      <c r="E5" s="4">
        <v>25</v>
      </c>
      <c r="F5" s="3">
        <v>3</v>
      </c>
      <c r="G5" s="4">
        <f t="shared" si="0"/>
        <v>75</v>
      </c>
      <c r="H5" s="11">
        <v>46277</v>
      </c>
    </row>
    <row r="6" spans="1:8" x14ac:dyDescent="0.25">
      <c r="A6" s="3" t="s">
        <v>107</v>
      </c>
      <c r="B6" s="11">
        <v>46276</v>
      </c>
      <c r="C6" s="3" t="s">
        <v>19</v>
      </c>
      <c r="D6" s="3" t="s">
        <v>21</v>
      </c>
      <c r="E6" s="4">
        <v>3500</v>
      </c>
      <c r="F6" s="3">
        <v>1</v>
      </c>
      <c r="G6" s="4">
        <f t="shared" si="0"/>
        <v>3500</v>
      </c>
      <c r="H6" s="11">
        <v>46278</v>
      </c>
    </row>
    <row r="7" spans="1:8" x14ac:dyDescent="0.25">
      <c r="A7" s="3" t="s">
        <v>105</v>
      </c>
      <c r="B7" s="11">
        <v>46274</v>
      </c>
      <c r="C7" s="3" t="s">
        <v>7</v>
      </c>
      <c r="D7" s="3" t="s">
        <v>21</v>
      </c>
      <c r="E7" s="4">
        <v>2000</v>
      </c>
      <c r="F7" s="3">
        <v>6</v>
      </c>
      <c r="G7" s="4">
        <f t="shared" si="0"/>
        <v>12000</v>
      </c>
      <c r="H7" s="11">
        <v>46279</v>
      </c>
    </row>
    <row r="8" spans="1:8" x14ac:dyDescent="0.25">
      <c r="A8" s="3" t="s">
        <v>108</v>
      </c>
      <c r="B8" s="11">
        <v>46278</v>
      </c>
      <c r="C8" s="3" t="s">
        <v>62</v>
      </c>
      <c r="D8" s="3" t="s">
        <v>24</v>
      </c>
      <c r="E8" s="4">
        <v>450</v>
      </c>
      <c r="F8" s="3">
        <v>10</v>
      </c>
      <c r="G8" s="4">
        <f t="shared" si="0"/>
        <v>4500</v>
      </c>
      <c r="H8" s="11">
        <v>46280</v>
      </c>
    </row>
    <row r="9" spans="1:8" x14ac:dyDescent="0.25">
      <c r="A9" s="3" t="s">
        <v>109</v>
      </c>
      <c r="B9" s="11">
        <v>46279</v>
      </c>
      <c r="C9" s="3" t="s">
        <v>61</v>
      </c>
      <c r="D9" s="3" t="s">
        <v>23</v>
      </c>
      <c r="E9" s="4">
        <v>25</v>
      </c>
      <c r="F9" s="3">
        <v>15</v>
      </c>
      <c r="G9" s="4">
        <f t="shared" si="0"/>
        <v>375</v>
      </c>
      <c r="H9" s="11">
        <v>46281</v>
      </c>
    </row>
    <row r="10" spans="1:8" x14ac:dyDescent="0.25">
      <c r="A10" s="3" t="s">
        <v>110</v>
      </c>
      <c r="B10" s="11">
        <v>46280</v>
      </c>
      <c r="C10" s="3" t="s">
        <v>63</v>
      </c>
      <c r="D10" s="3" t="s">
        <v>64</v>
      </c>
      <c r="E10" s="4">
        <v>1500</v>
      </c>
      <c r="F10" s="3">
        <v>4</v>
      </c>
      <c r="G10" s="4">
        <f t="shared" si="0"/>
        <v>6000</v>
      </c>
      <c r="H10" s="11">
        <v>46282</v>
      </c>
    </row>
    <row r="11" spans="1:8" x14ac:dyDescent="0.25">
      <c r="A11" s="3" t="s">
        <v>111</v>
      </c>
      <c r="B11" s="11">
        <v>46281</v>
      </c>
      <c r="C11" s="3" t="s">
        <v>65</v>
      </c>
      <c r="D11" s="3" t="s">
        <v>66</v>
      </c>
      <c r="E11" s="4">
        <v>60</v>
      </c>
      <c r="F11" s="3">
        <v>10</v>
      </c>
      <c r="G11" s="4">
        <f t="shared" si="0"/>
        <v>600</v>
      </c>
      <c r="H11" s="11">
        <v>46283</v>
      </c>
    </row>
    <row r="12" spans="1:8" x14ac:dyDescent="0.25">
      <c r="A12" s="3" t="s">
        <v>112</v>
      </c>
      <c r="B12" s="11">
        <v>46282</v>
      </c>
      <c r="C12" s="3" t="s">
        <v>67</v>
      </c>
      <c r="D12" s="3" t="s">
        <v>26</v>
      </c>
      <c r="E12" s="4">
        <v>6000</v>
      </c>
      <c r="F12" s="3">
        <v>2</v>
      </c>
      <c r="G12" s="4">
        <f t="shared" si="0"/>
        <v>12000</v>
      </c>
      <c r="H12" s="11">
        <v>46284</v>
      </c>
    </row>
    <row r="13" spans="1:8" x14ac:dyDescent="0.25">
      <c r="A13" s="3" t="s">
        <v>113</v>
      </c>
      <c r="B13" s="11">
        <v>46283</v>
      </c>
      <c r="C13" s="3" t="s">
        <v>68</v>
      </c>
      <c r="D13" s="3" t="s">
        <v>69</v>
      </c>
      <c r="E13" s="4">
        <v>4500</v>
      </c>
      <c r="F13" s="3">
        <v>3</v>
      </c>
      <c r="G13" s="4">
        <f t="shared" si="0"/>
        <v>13500</v>
      </c>
      <c r="H13" s="11">
        <v>46285</v>
      </c>
    </row>
    <row r="14" spans="1:8" x14ac:dyDescent="0.25">
      <c r="A14" s="3" t="s">
        <v>114</v>
      </c>
      <c r="B14" s="11">
        <v>46284</v>
      </c>
      <c r="C14" s="3" t="s">
        <v>67</v>
      </c>
      <c r="D14" s="3" t="s">
        <v>26</v>
      </c>
      <c r="E14" s="4">
        <v>6000</v>
      </c>
      <c r="F14" s="3">
        <v>5</v>
      </c>
      <c r="G14" s="4">
        <f t="shared" si="0"/>
        <v>30000</v>
      </c>
      <c r="H14" s="11">
        <v>46286</v>
      </c>
    </row>
    <row r="15" spans="1:8" x14ac:dyDescent="0.25">
      <c r="A15" s="3" t="s">
        <v>115</v>
      </c>
      <c r="B15" s="11">
        <v>46285</v>
      </c>
      <c r="C15" s="3" t="s">
        <v>70</v>
      </c>
      <c r="D15" s="3" t="s">
        <v>77</v>
      </c>
      <c r="E15" s="4">
        <v>300</v>
      </c>
      <c r="F15" s="3">
        <v>6</v>
      </c>
      <c r="G15" s="4">
        <f t="shared" si="0"/>
        <v>1800</v>
      </c>
      <c r="H15" s="11">
        <v>46287</v>
      </c>
    </row>
    <row r="16" spans="1:8" x14ac:dyDescent="0.25">
      <c r="A16" s="3" t="s">
        <v>116</v>
      </c>
      <c r="B16" s="11">
        <v>46286</v>
      </c>
      <c r="C16" s="3" t="s">
        <v>71</v>
      </c>
      <c r="D16" s="3" t="s">
        <v>21</v>
      </c>
      <c r="E16" s="4">
        <v>3600</v>
      </c>
      <c r="F16" s="3">
        <v>4</v>
      </c>
      <c r="G16" s="4">
        <f t="shared" si="0"/>
        <v>14400</v>
      </c>
      <c r="H16" s="11">
        <v>46288</v>
      </c>
    </row>
    <row r="17" spans="1:8" x14ac:dyDescent="0.25">
      <c r="A17" s="3" t="s">
        <v>111</v>
      </c>
      <c r="B17" s="11">
        <v>46281</v>
      </c>
      <c r="C17" s="3" t="s">
        <v>65</v>
      </c>
      <c r="D17" s="3" t="s">
        <v>66</v>
      </c>
      <c r="E17" s="4">
        <v>60</v>
      </c>
      <c r="F17" s="3">
        <v>10</v>
      </c>
      <c r="G17" s="4">
        <f t="shared" si="0"/>
        <v>600</v>
      </c>
      <c r="H17" s="11">
        <v>46289</v>
      </c>
    </row>
    <row r="18" spans="1:8" x14ac:dyDescent="0.25">
      <c r="A18" s="3" t="s">
        <v>117</v>
      </c>
      <c r="B18" s="11">
        <v>46288</v>
      </c>
      <c r="C18" s="3" t="s">
        <v>73</v>
      </c>
      <c r="D18" s="3" t="s">
        <v>74</v>
      </c>
      <c r="E18" s="4">
        <v>2700</v>
      </c>
      <c r="F18" s="3">
        <v>3</v>
      </c>
      <c r="G18" s="4">
        <f t="shared" si="0"/>
        <v>8100</v>
      </c>
      <c r="H18" s="11">
        <v>46290</v>
      </c>
    </row>
    <row r="19" spans="1:8" x14ac:dyDescent="0.25">
      <c r="A19" s="3" t="s">
        <v>118</v>
      </c>
      <c r="B19" s="11">
        <v>46289</v>
      </c>
      <c r="C19" s="3" t="s">
        <v>16</v>
      </c>
      <c r="D19" s="3" t="s">
        <v>75</v>
      </c>
      <c r="E19" s="4">
        <v>500</v>
      </c>
      <c r="F19" s="3">
        <v>5</v>
      </c>
      <c r="G19" s="4">
        <f t="shared" si="0"/>
        <v>2500</v>
      </c>
      <c r="H19" s="11">
        <v>46291</v>
      </c>
    </row>
    <row r="20" spans="1:8" x14ac:dyDescent="0.25">
      <c r="A20" s="3" t="s">
        <v>119</v>
      </c>
      <c r="B20" s="11">
        <v>46290</v>
      </c>
      <c r="C20" s="3" t="s">
        <v>76</v>
      </c>
      <c r="D20" s="3" t="s">
        <v>23</v>
      </c>
      <c r="E20" s="4">
        <v>150</v>
      </c>
      <c r="F20" s="3">
        <v>1</v>
      </c>
      <c r="G20" s="4">
        <f t="shared" si="0"/>
        <v>150</v>
      </c>
      <c r="H20" s="11">
        <v>46292</v>
      </c>
    </row>
    <row r="21" spans="1:8" x14ac:dyDescent="0.25">
      <c r="A21" s="3" t="s">
        <v>120</v>
      </c>
      <c r="B21" s="11">
        <v>46291</v>
      </c>
      <c r="C21" s="3" t="s">
        <v>14</v>
      </c>
      <c r="D21" s="3" t="s">
        <v>22</v>
      </c>
      <c r="E21" s="4">
        <v>2500</v>
      </c>
      <c r="F21" s="3">
        <v>3</v>
      </c>
      <c r="G21" s="4">
        <f t="shared" si="0"/>
        <v>7500</v>
      </c>
      <c r="H21" s="11">
        <v>46293</v>
      </c>
    </row>
    <row r="22" spans="1:8" x14ac:dyDescent="0.25">
      <c r="A22" s="3" t="s">
        <v>121</v>
      </c>
      <c r="B22" s="11">
        <v>46292</v>
      </c>
      <c r="C22" s="3" t="s">
        <v>10</v>
      </c>
      <c r="D22" s="3" t="s">
        <v>75</v>
      </c>
      <c r="E22" s="4">
        <v>230</v>
      </c>
      <c r="F22" s="3">
        <v>2</v>
      </c>
      <c r="G22" s="4">
        <f t="shared" si="0"/>
        <v>460</v>
      </c>
      <c r="H22" s="11">
        <v>46294</v>
      </c>
    </row>
    <row r="23" spans="1:8" x14ac:dyDescent="0.25">
      <c r="A23" s="3" t="s">
        <v>122</v>
      </c>
      <c r="B23" s="11">
        <v>46293</v>
      </c>
      <c r="C23" s="3" t="s">
        <v>14</v>
      </c>
      <c r="D23" s="3" t="s">
        <v>22</v>
      </c>
      <c r="E23" s="4">
        <v>2500</v>
      </c>
      <c r="F23" s="3">
        <v>4</v>
      </c>
      <c r="G23" s="4">
        <f t="shared" si="0"/>
        <v>10000</v>
      </c>
      <c r="H23" s="11">
        <v>46295</v>
      </c>
    </row>
    <row r="24" spans="1:8" x14ac:dyDescent="0.25">
      <c r="A24" s="3" t="s">
        <v>123</v>
      </c>
      <c r="B24" s="11">
        <v>46294</v>
      </c>
      <c r="C24" s="3" t="s">
        <v>62</v>
      </c>
      <c r="D24" s="3" t="s">
        <v>24</v>
      </c>
      <c r="E24" s="4">
        <v>550</v>
      </c>
      <c r="F24" s="3">
        <v>3</v>
      </c>
      <c r="G24" s="4">
        <f t="shared" si="0"/>
        <v>1650</v>
      </c>
      <c r="H24" s="11">
        <v>46296</v>
      </c>
    </row>
    <row r="25" spans="1:8" x14ac:dyDescent="0.25">
      <c r="A25" s="3" t="s">
        <v>117</v>
      </c>
      <c r="B25" s="11">
        <v>46288</v>
      </c>
      <c r="C25" s="3" t="s">
        <v>73</v>
      </c>
      <c r="D25" s="3" t="s">
        <v>74</v>
      </c>
      <c r="E25" s="4">
        <v>2700</v>
      </c>
      <c r="F25" s="3">
        <v>1</v>
      </c>
      <c r="G25" s="4">
        <f t="shared" si="0"/>
        <v>2700</v>
      </c>
      <c r="H25" s="11">
        <v>46297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2026-09-22T08:00:04Z</dcterms:created>
  <dcterms:modified xsi:type="dcterms:W3CDTF">2026-09-24T00:50:22Z</dcterms:modified>
</cp:coreProperties>
</file>