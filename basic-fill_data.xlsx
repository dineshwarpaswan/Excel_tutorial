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C951A4CA-9B2E-40DB-9F04-95B750EEACD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  <c r="L16" i="2"/>
  <c r="M16" i="2"/>
  <c r="K17" i="2"/>
  <c r="L17" i="2"/>
  <c r="M17" i="2"/>
  <c r="K18" i="2"/>
  <c r="L18" i="2"/>
  <c r="M18" i="2"/>
  <c r="J17" i="2"/>
  <c r="J18" i="2"/>
  <c r="J16" i="2"/>
  <c r="K13" i="2"/>
  <c r="L13" i="2"/>
  <c r="M13" i="2"/>
  <c r="K14" i="2"/>
  <c r="L14" i="2"/>
  <c r="M14" i="2"/>
  <c r="K15" i="2"/>
  <c r="L15" i="2"/>
  <c r="M15" i="2"/>
  <c r="J14" i="2"/>
  <c r="J15" i="2"/>
  <c r="J13" i="2"/>
</calcChain>
</file>

<file path=xl/sharedStrings.xml><?xml version="1.0" encoding="utf-8"?>
<sst xmlns="http://schemas.openxmlformats.org/spreadsheetml/2006/main" count="197" uniqueCount="131">
  <si>
    <t>JOB_ID</t>
  </si>
  <si>
    <t>GENDER</t>
  </si>
  <si>
    <t>JOB CITY</t>
  </si>
  <si>
    <t>EMPLOYE NAME</t>
  </si>
  <si>
    <t>SALLARI</t>
  </si>
  <si>
    <t>DATE OF JON</t>
  </si>
  <si>
    <t>RETIRMENT DATE</t>
  </si>
  <si>
    <t>DINESHWAR PASWAN</t>
  </si>
  <si>
    <t>IT SECTOR</t>
  </si>
  <si>
    <t>MALE</t>
  </si>
  <si>
    <t>15/M/2026</t>
  </si>
  <si>
    <t>28/OC/2056</t>
  </si>
  <si>
    <t>BOKARO</t>
  </si>
  <si>
    <t>B011</t>
  </si>
  <si>
    <t>R012</t>
  </si>
  <si>
    <t>MUKESH KMAR RAJAK</t>
  </si>
  <si>
    <t>RAILWAY</t>
  </si>
  <si>
    <t>RANCHI</t>
  </si>
  <si>
    <t>05/AGU/2045</t>
  </si>
  <si>
    <t>D012</t>
  </si>
  <si>
    <t>RAVENDER MAHTO</t>
  </si>
  <si>
    <t>DEFENCE</t>
  </si>
  <si>
    <t>JAMU KASHMIR</t>
  </si>
  <si>
    <t>SOFWARE ENG</t>
  </si>
  <si>
    <t>JUNIOR ENG</t>
  </si>
  <si>
    <t>LEFTINANT CORNAL</t>
  </si>
  <si>
    <t>DEPATMENS</t>
  </si>
  <si>
    <t>TE012</t>
  </si>
  <si>
    <t>MONIKA SINGH</t>
  </si>
  <si>
    <t>TECHING</t>
  </si>
  <si>
    <t>PATNA</t>
  </si>
  <si>
    <t>ASSISTANT PROFESER</t>
  </si>
  <si>
    <t>FAMALE</t>
  </si>
  <si>
    <t>SIMA KUMARI PASWAN</t>
  </si>
  <si>
    <t>HEALTH</t>
  </si>
  <si>
    <t>DHANBAD</t>
  </si>
  <si>
    <t>SENIOR DOCTOR</t>
  </si>
  <si>
    <t>BK012</t>
  </si>
  <si>
    <t>PREM PASWAN</t>
  </si>
  <si>
    <t>BANKING</t>
  </si>
  <si>
    <t>GAYA JI</t>
  </si>
  <si>
    <t>CHEF MANAGER</t>
  </si>
  <si>
    <t>DIGNATIONS</t>
  </si>
  <si>
    <t>JOB NATURS</t>
  </si>
  <si>
    <t>FUL TMLE</t>
  </si>
  <si>
    <t>GOVE/PRIVATE</t>
  </si>
  <si>
    <t>PRIVATE</t>
  </si>
  <si>
    <t>CENRAL GOVERNT</t>
  </si>
  <si>
    <t>STATE GOVERMANT</t>
  </si>
  <si>
    <t>CENTRAL GOVERNMENT</t>
  </si>
  <si>
    <t>STATE NAME</t>
  </si>
  <si>
    <t>JHARKHAND</t>
  </si>
  <si>
    <t>JAMU KAMIR</t>
  </si>
  <si>
    <t>BIHAR</t>
  </si>
  <si>
    <t>C012</t>
  </si>
  <si>
    <t>SNEHLAT PANDIT</t>
  </si>
  <si>
    <t>CORPORATE</t>
  </si>
  <si>
    <t>KOLKATA</t>
  </si>
  <si>
    <t>13/AG/2054</t>
  </si>
  <si>
    <t xml:space="preserve"> JONAL MANAGER</t>
  </si>
  <si>
    <t>PART TIME</t>
  </si>
  <si>
    <t>WEST BANGAL</t>
  </si>
  <si>
    <t>IT012</t>
  </si>
  <si>
    <t>NEHA KMARI</t>
  </si>
  <si>
    <t xml:space="preserve"> IT SECTOR</t>
  </si>
  <si>
    <t>HYDRABAD</t>
  </si>
  <si>
    <t>SEO ENG</t>
  </si>
  <si>
    <t>ANDHRA PRADESH</t>
  </si>
  <si>
    <t>MOBILE N.</t>
  </si>
  <si>
    <t>EMPLOYEE MEMBERS</t>
  </si>
  <si>
    <t>BIAHAR</t>
  </si>
  <si>
    <t>C0123</t>
  </si>
  <si>
    <t>RAKESH SHIRIWASTW</t>
  </si>
  <si>
    <t xml:space="preserve">BANKING </t>
  </si>
  <si>
    <t>HAZARIBAG</t>
  </si>
  <si>
    <t>ARIA MANAGER</t>
  </si>
  <si>
    <t>R023</t>
  </si>
  <si>
    <t>RADHIKA SINGHAL</t>
  </si>
  <si>
    <t>RALWAY</t>
  </si>
  <si>
    <t>RAYOR</t>
  </si>
  <si>
    <t>STAION MASTER</t>
  </si>
  <si>
    <t>CENTERAL GOVERMENT</t>
  </si>
  <si>
    <t>CHATISGAD</t>
  </si>
  <si>
    <t>B034</t>
  </si>
  <si>
    <t>ROHTA SARMA</t>
  </si>
  <si>
    <t>TATA</t>
  </si>
  <si>
    <t>OFFICE ASSISTANT</t>
  </si>
  <si>
    <t>CENTRAL GOVERNT</t>
  </si>
  <si>
    <t>JHARKAND</t>
  </si>
  <si>
    <t>MAHESH PASWAN</t>
  </si>
  <si>
    <t>IT SECTORE</t>
  </si>
  <si>
    <t>BAKXER</t>
  </si>
  <si>
    <t>JUNIOR SOFTWARE ENG</t>
  </si>
  <si>
    <t>PIRIYA KUMARI</t>
  </si>
  <si>
    <t>12/MR/2006</t>
  </si>
  <si>
    <t>15/AP/2039</t>
  </si>
  <si>
    <t>JONAL MANAER</t>
  </si>
  <si>
    <t>KARNATAKA</t>
  </si>
  <si>
    <t>FULL TIME</t>
  </si>
  <si>
    <t>DF102</t>
  </si>
  <si>
    <t>RANA PRATAP SING</t>
  </si>
  <si>
    <t>JODHE PURE</t>
  </si>
  <si>
    <t>MAJER</t>
  </si>
  <si>
    <t>CENTERAL GOVE</t>
  </si>
  <si>
    <t>RAJSTHAN</t>
  </si>
  <si>
    <t>B10</t>
  </si>
  <si>
    <t>KARAN PASWAN</t>
  </si>
  <si>
    <t>RAULKILA</t>
  </si>
  <si>
    <t>23/AS/2023</t>
  </si>
  <si>
    <t>01/FEV/2062</t>
  </si>
  <si>
    <t>CASIOR</t>
  </si>
  <si>
    <t>URISHA</t>
  </si>
  <si>
    <t>TEC03</t>
  </si>
  <si>
    <t>VIDYA KUMARI YADAV</t>
  </si>
  <si>
    <t>TEACHING</t>
  </si>
  <si>
    <t>BANARAS</t>
  </si>
  <si>
    <t>ASSISTANT TEACHER</t>
  </si>
  <si>
    <t>UTER PREDESH</t>
  </si>
  <si>
    <t>20/08/2045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</si>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</sst>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Bauhaus 93"/>
      <family val="5"/>
    </font>
    <font>
      <sz val="22"/>
      <color theme="1"/>
      <name val="Bauhaus 93"/>
      <family val="5"/>
    </font>
    <font>
      <b/>
      <sz val="22"/>
      <color theme="1" tint="4.9989318521683403E-2"/>
      <name val="Arial Black"/>
      <family val="2"/>
    </font>
    <font>
      <b/>
      <sz val="14"/>
      <color theme="1"/>
      <name val="Aparajita"/>
      <family val="2"/>
    </font>
    <font>
      <b/>
      <sz val="14"/>
      <color theme="0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numFmt numFmtId="164" formatCode="m/d/yyyy"/>
      <alignment horizontal="center" vertical="bottom" textRotation="0" wrapText="0" relativeIndent="0" justifyLastLine="0" shrinkToFit="0" readingOrder="0"/>
    </dxf>
    <dxf>
      <numFmt numFmtId="164" formatCode="m/d/yyyy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 tint="4.9989318521683403E-2"/>
        <name val="Arial Black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0" totalsRowShown="0" headerRowDxfId="15" dataDxfId="13" headerRowBorderDxfId="14">
  <tableColumns count="13">
    <tableColumn id="1" xr3:uid="{00000000-0010-0000-0000-000001000000}" name="EMPLOYEE MEMBERS" dataDxfId="12"/>
    <tableColumn id="2" xr3:uid="{00000000-0010-0000-0000-000002000000}" name="Column1" dataDxfId="11"/>
    <tableColumn id="3" xr3:uid="{00000000-0010-0000-0000-000003000000}" name="Column2" dataDxfId="10"/>
    <tableColumn id="4" xr3:uid="{00000000-0010-0000-0000-000004000000}" name="Column3" dataDxfId="9"/>
    <tableColumn id="5" xr3:uid="{00000000-0010-0000-0000-000005000000}" name="Column4" dataDxfId="8"/>
    <tableColumn id="6" xr3:uid="{00000000-0010-0000-0000-000006000000}" name="Column5" dataDxfId="7"/>
    <tableColumn id="7" xr3:uid="{00000000-0010-0000-0000-000007000000}" name="Column6" dataDxfId="6"/>
    <tableColumn id="8" xr3:uid="{00000000-0010-0000-0000-000008000000}" name="Column7" dataDxfId="5"/>
    <tableColumn id="9" xr3:uid="{00000000-0010-0000-0000-000009000000}" name="Column8" dataDxfId="4"/>
    <tableColumn id="10" xr3:uid="{00000000-0010-0000-0000-00000A000000}" name="Column9" dataDxfId="3"/>
    <tableColumn id="11" xr3:uid="{00000000-0010-0000-0000-00000B000000}" name="Column10" dataDxfId="2"/>
    <tableColumn id="12" xr3:uid="{00000000-0010-0000-0000-00000C000000}" name="Column11" dataDxfId="1"/>
    <tableColumn id="13" xr3:uid="{00000000-0010-0000-0000-00000D000000}" name="Column12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opLeftCell="E1" workbookViewId="0">
      <selection activeCell="A2" sqref="A2:M2"/>
    </sheetView>
  </sheetViews>
  <sheetFormatPr defaultRowHeight="15" x14ac:dyDescent="0.25"/>
  <cols>
    <col min="2" max="2" width="26.7109375" customWidth="1"/>
    <col min="3" max="3" width="18.140625" customWidth="1"/>
    <col min="4" max="4" width="12.5703125" customWidth="1"/>
    <col min="5" max="5" width="15" customWidth="1"/>
    <col min="6" max="6" width="15.42578125" customWidth="1"/>
    <col min="7" max="7" width="17" customWidth="1"/>
    <col min="8" max="8" width="22.28515625" customWidth="1"/>
    <col min="9" max="10" width="22.42578125" customWidth="1"/>
    <col min="11" max="11" width="19.5703125" customWidth="1"/>
    <col min="12" max="12" width="23.85546875" customWidth="1"/>
    <col min="13" max="13" width="19.5703125" bestFit="1" customWidth="1"/>
  </cols>
  <sheetData>
    <row r="1" spans="1:13" ht="33.75" x14ac:dyDescent="0.6">
      <c r="A1" s="9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8.75" x14ac:dyDescent="0.3">
      <c r="A2" s="2" t="s">
        <v>0</v>
      </c>
      <c r="B2" s="2" t="s">
        <v>3</v>
      </c>
      <c r="C2" s="2" t="s">
        <v>26</v>
      </c>
      <c r="D2" s="2" t="s">
        <v>1</v>
      </c>
      <c r="E2" s="2" t="s">
        <v>2</v>
      </c>
      <c r="F2" s="2" t="s">
        <v>4</v>
      </c>
      <c r="G2" s="2" t="s">
        <v>5</v>
      </c>
      <c r="H2" s="2" t="s">
        <v>6</v>
      </c>
      <c r="I2" s="2" t="s">
        <v>42</v>
      </c>
      <c r="J2" s="2" t="s">
        <v>68</v>
      </c>
      <c r="K2" s="2" t="s">
        <v>43</v>
      </c>
      <c r="L2" s="2" t="s">
        <v>45</v>
      </c>
      <c r="M2" s="2" t="s">
        <v>50</v>
      </c>
    </row>
    <row r="3" spans="1:13" ht="15.75" x14ac:dyDescent="0.25">
      <c r="A3" s="3" t="s">
        <v>13</v>
      </c>
      <c r="B3" s="3" t="s">
        <v>7</v>
      </c>
      <c r="C3" s="3" t="s">
        <v>8</v>
      </c>
      <c r="D3" s="3" t="s">
        <v>9</v>
      </c>
      <c r="E3" s="3" t="s">
        <v>12</v>
      </c>
      <c r="F3" s="3">
        <v>57000</v>
      </c>
      <c r="G3" s="3" t="s">
        <v>10</v>
      </c>
      <c r="H3" s="3" t="s">
        <v>11</v>
      </c>
      <c r="I3" s="3" t="s">
        <v>23</v>
      </c>
      <c r="J3" s="3">
        <v>9816788660</v>
      </c>
      <c r="K3" s="3" t="s">
        <v>44</v>
      </c>
      <c r="L3" s="3" t="s">
        <v>46</v>
      </c>
      <c r="M3" s="3" t="s">
        <v>51</v>
      </c>
    </row>
    <row r="4" spans="1:13" ht="15.75" x14ac:dyDescent="0.25">
      <c r="A4" s="3" t="s">
        <v>14</v>
      </c>
      <c r="B4" s="3" t="s">
        <v>15</v>
      </c>
      <c r="C4" s="3" t="s">
        <v>16</v>
      </c>
      <c r="D4" s="3" t="s">
        <v>9</v>
      </c>
      <c r="E4" s="3" t="s">
        <v>17</v>
      </c>
      <c r="F4" s="3">
        <v>45000</v>
      </c>
      <c r="G4" s="4">
        <v>42167</v>
      </c>
      <c r="H4" s="3" t="s">
        <v>18</v>
      </c>
      <c r="I4" s="3" t="s">
        <v>24</v>
      </c>
      <c r="J4" s="3">
        <v>8705349868</v>
      </c>
      <c r="K4" s="3" t="s">
        <v>44</v>
      </c>
      <c r="L4" s="3" t="s">
        <v>47</v>
      </c>
      <c r="M4" s="3" t="s">
        <v>51</v>
      </c>
    </row>
    <row r="5" spans="1:13" ht="15.75" x14ac:dyDescent="0.25">
      <c r="A5" s="3" t="s">
        <v>19</v>
      </c>
      <c r="B5" s="3" t="s">
        <v>20</v>
      </c>
      <c r="C5" s="3" t="s">
        <v>21</v>
      </c>
      <c r="D5" s="3" t="s">
        <v>9</v>
      </c>
      <c r="E5" s="3" t="s">
        <v>22</v>
      </c>
      <c r="F5" s="3">
        <v>62000</v>
      </c>
      <c r="G5" s="4">
        <v>36986</v>
      </c>
      <c r="H5" s="4">
        <v>49811</v>
      </c>
      <c r="I5" s="3" t="s">
        <v>25</v>
      </c>
      <c r="J5" s="3">
        <v>6550865433</v>
      </c>
      <c r="K5" s="3" t="s">
        <v>44</v>
      </c>
      <c r="L5" s="3" t="s">
        <v>49</v>
      </c>
      <c r="M5" s="3" t="s">
        <v>52</v>
      </c>
    </row>
    <row r="6" spans="1:13" ht="15.75" x14ac:dyDescent="0.25">
      <c r="A6" s="3" t="s">
        <v>27</v>
      </c>
      <c r="B6" s="3" t="s">
        <v>28</v>
      </c>
      <c r="C6" s="3" t="s">
        <v>29</v>
      </c>
      <c r="D6" s="3" t="s">
        <v>32</v>
      </c>
      <c r="E6" s="3" t="s">
        <v>30</v>
      </c>
      <c r="F6" s="3">
        <v>50500</v>
      </c>
      <c r="G6" s="4">
        <v>44099</v>
      </c>
      <c r="H6" s="4">
        <v>59955</v>
      </c>
      <c r="I6" s="3" t="s">
        <v>31</v>
      </c>
      <c r="J6" s="3">
        <v>7543786438</v>
      </c>
      <c r="K6" s="3" t="s">
        <v>44</v>
      </c>
      <c r="L6" s="3" t="s">
        <v>48</v>
      </c>
      <c r="M6" s="3" t="s">
        <v>53</v>
      </c>
    </row>
    <row r="7" spans="1:13" ht="15.75" x14ac:dyDescent="0.25">
      <c r="A7" s="3" t="s">
        <v>19</v>
      </c>
      <c r="B7" s="3" t="s">
        <v>33</v>
      </c>
      <c r="C7" s="3" t="s">
        <v>34</v>
      </c>
      <c r="D7" s="3" t="s">
        <v>32</v>
      </c>
      <c r="E7" s="3" t="s">
        <v>35</v>
      </c>
      <c r="F7" s="3">
        <v>78000</v>
      </c>
      <c r="G7" s="4">
        <v>39109</v>
      </c>
      <c r="H7" s="4">
        <v>51815</v>
      </c>
      <c r="I7" s="3" t="s">
        <v>36</v>
      </c>
      <c r="J7" s="3">
        <v>8466547408</v>
      </c>
      <c r="K7" s="3" t="s">
        <v>44</v>
      </c>
      <c r="L7" s="3" t="s">
        <v>49</v>
      </c>
      <c r="M7" s="3" t="s">
        <v>51</v>
      </c>
    </row>
    <row r="8" spans="1:13" ht="15.75" x14ac:dyDescent="0.25">
      <c r="A8" s="3" t="s">
        <v>37</v>
      </c>
      <c r="B8" s="3" t="s">
        <v>38</v>
      </c>
      <c r="C8" s="3" t="s">
        <v>39</v>
      </c>
      <c r="D8" s="3" t="s">
        <v>9</v>
      </c>
      <c r="E8" s="3" t="s">
        <v>40</v>
      </c>
      <c r="F8" s="3">
        <v>75000</v>
      </c>
      <c r="G8" s="4">
        <v>42477</v>
      </c>
      <c r="H8" s="4">
        <v>55505</v>
      </c>
      <c r="I8" s="3" t="s">
        <v>41</v>
      </c>
      <c r="J8" s="3">
        <v>8906543380</v>
      </c>
      <c r="K8" s="3" t="s">
        <v>44</v>
      </c>
      <c r="L8" s="3" t="s">
        <v>49</v>
      </c>
      <c r="M8" s="3" t="s">
        <v>53</v>
      </c>
    </row>
    <row r="9" spans="1:13" ht="15.75" x14ac:dyDescent="0.25">
      <c r="A9" s="3" t="s">
        <v>62</v>
      </c>
      <c r="B9" s="3" t="s">
        <v>63</v>
      </c>
      <c r="C9" s="3" t="s">
        <v>64</v>
      </c>
      <c r="D9" s="3" t="s">
        <v>32</v>
      </c>
      <c r="E9" s="3" t="s">
        <v>65</v>
      </c>
      <c r="F9" s="3">
        <v>95000</v>
      </c>
      <c r="G9" s="4">
        <v>39897</v>
      </c>
      <c r="H9" s="4">
        <v>52129</v>
      </c>
      <c r="I9" s="3" t="s">
        <v>66</v>
      </c>
      <c r="J9" s="3">
        <v>2356779870</v>
      </c>
      <c r="K9" s="3" t="s">
        <v>60</v>
      </c>
      <c r="L9" s="3" t="s">
        <v>46</v>
      </c>
      <c r="M9" s="3" t="s">
        <v>67</v>
      </c>
    </row>
    <row r="10" spans="1:13" ht="15.75" x14ac:dyDescent="0.25">
      <c r="A10" s="3" t="s">
        <v>54</v>
      </c>
      <c r="B10" s="3" t="s">
        <v>55</v>
      </c>
      <c r="C10" s="3" t="s">
        <v>56</v>
      </c>
      <c r="D10" s="3" t="s">
        <v>32</v>
      </c>
      <c r="E10" s="3" t="s">
        <v>57</v>
      </c>
      <c r="F10" s="3">
        <v>105000</v>
      </c>
      <c r="G10" s="4">
        <v>43135</v>
      </c>
      <c r="H10" s="3" t="s">
        <v>58</v>
      </c>
      <c r="I10" s="3" t="s">
        <v>59</v>
      </c>
      <c r="J10" s="3">
        <v>6666606655</v>
      </c>
      <c r="K10" s="3" t="s">
        <v>60</v>
      </c>
      <c r="L10" s="3" t="s">
        <v>46</v>
      </c>
      <c r="M10" s="3" t="s">
        <v>61</v>
      </c>
    </row>
    <row r="11" spans="1:13" x14ac:dyDescent="0.25">
      <c r="L11" s="1"/>
    </row>
  </sheetData>
  <mergeCells count="1">
    <mergeCell ref="A1:M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abSelected="1" topLeftCell="I1" workbookViewId="0">
      <selection activeCell="O13" sqref="O13"/>
    </sheetView>
  </sheetViews>
  <sheetFormatPr defaultRowHeight="15" x14ac:dyDescent="0.25"/>
  <cols>
    <col min="1" max="1" width="53.140625" customWidth="1"/>
    <col min="2" max="10" width="22.85546875" customWidth="1"/>
    <col min="11" max="13" width="25.5703125" customWidth="1"/>
  </cols>
  <sheetData>
    <row r="1" spans="1:13" ht="33.75" x14ac:dyDescent="0.65">
      <c r="A1" s="5" t="s">
        <v>69</v>
      </c>
      <c r="B1" s="5" t="s">
        <v>119</v>
      </c>
      <c r="C1" s="5" t="s">
        <v>120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  <c r="L1" s="5" t="s">
        <v>129</v>
      </c>
      <c r="M1" s="5" t="s">
        <v>130</v>
      </c>
    </row>
    <row r="2" spans="1:13" ht="20.25" x14ac:dyDescent="0.35">
      <c r="A2" s="7" t="s">
        <v>0</v>
      </c>
      <c r="B2" s="7" t="s">
        <v>3</v>
      </c>
      <c r="C2" s="7" t="s">
        <v>26</v>
      </c>
      <c r="D2" s="7" t="s">
        <v>1</v>
      </c>
      <c r="E2" s="7" t="s">
        <v>2</v>
      </c>
      <c r="F2" s="7" t="s">
        <v>4</v>
      </c>
      <c r="G2" s="7" t="s">
        <v>5</v>
      </c>
      <c r="H2" s="7" t="s">
        <v>6</v>
      </c>
      <c r="I2" s="7" t="s">
        <v>42</v>
      </c>
      <c r="J2" s="7" t="s">
        <v>68</v>
      </c>
      <c r="K2" s="7" t="s">
        <v>43</v>
      </c>
      <c r="L2" s="7" t="s">
        <v>45</v>
      </c>
      <c r="M2" s="7" t="s">
        <v>50</v>
      </c>
    </row>
    <row r="3" spans="1:13" x14ac:dyDescent="0.25">
      <c r="A3" s="1" t="s">
        <v>62</v>
      </c>
      <c r="B3" s="1" t="s">
        <v>89</v>
      </c>
      <c r="C3" s="1" t="s">
        <v>90</v>
      </c>
      <c r="D3" s="1" t="s">
        <v>9</v>
      </c>
      <c r="E3" s="1" t="s">
        <v>91</v>
      </c>
      <c r="F3" s="1">
        <v>125000</v>
      </c>
      <c r="G3" s="6">
        <v>42708</v>
      </c>
      <c r="H3" s="6">
        <v>56433</v>
      </c>
      <c r="I3" s="1" t="s">
        <v>92</v>
      </c>
      <c r="J3" s="1">
        <v>8799870949</v>
      </c>
      <c r="K3" s="1" t="s">
        <v>98</v>
      </c>
      <c r="L3" s="1" t="s">
        <v>46</v>
      </c>
      <c r="M3" s="1" t="s">
        <v>70</v>
      </c>
    </row>
    <row r="4" spans="1:13" x14ac:dyDescent="0.25">
      <c r="A4" s="1" t="s">
        <v>71</v>
      </c>
      <c r="B4" s="1" t="s">
        <v>72</v>
      </c>
      <c r="C4" s="1" t="s">
        <v>73</v>
      </c>
      <c r="D4" s="1" t="s">
        <v>9</v>
      </c>
      <c r="E4" s="1" t="s">
        <v>74</v>
      </c>
      <c r="F4" s="1">
        <v>60000</v>
      </c>
      <c r="G4" s="6">
        <v>39520</v>
      </c>
      <c r="H4" s="6">
        <v>53064</v>
      </c>
      <c r="I4" s="1" t="s">
        <v>75</v>
      </c>
      <c r="J4" s="1">
        <v>4309245678</v>
      </c>
      <c r="K4" s="1" t="s">
        <v>98</v>
      </c>
      <c r="L4" s="1" t="s">
        <v>46</v>
      </c>
      <c r="M4" s="1" t="s">
        <v>51</v>
      </c>
    </row>
    <row r="5" spans="1:13" x14ac:dyDescent="0.25">
      <c r="A5" s="1" t="s">
        <v>76</v>
      </c>
      <c r="B5" s="1" t="s">
        <v>77</v>
      </c>
      <c r="C5" s="1" t="s">
        <v>78</v>
      </c>
      <c r="D5" s="1" t="s">
        <v>32</v>
      </c>
      <c r="E5" s="1" t="s">
        <v>79</v>
      </c>
      <c r="F5" s="1">
        <v>85000</v>
      </c>
      <c r="G5" s="6">
        <v>36773</v>
      </c>
      <c r="H5" s="6">
        <v>49602</v>
      </c>
      <c r="I5" s="1" t="s">
        <v>80</v>
      </c>
      <c r="J5" s="1">
        <v>98063456789</v>
      </c>
      <c r="K5" s="1" t="s">
        <v>98</v>
      </c>
      <c r="L5" s="1" t="s">
        <v>81</v>
      </c>
      <c r="M5" s="1" t="s">
        <v>82</v>
      </c>
    </row>
    <row r="6" spans="1:13" x14ac:dyDescent="0.25">
      <c r="A6" s="1" t="s">
        <v>83</v>
      </c>
      <c r="B6" s="1" t="s">
        <v>84</v>
      </c>
      <c r="C6" s="1" t="s">
        <v>39</v>
      </c>
      <c r="D6" s="1" t="s">
        <v>9</v>
      </c>
      <c r="E6" s="1" t="s">
        <v>85</v>
      </c>
      <c r="F6" s="1">
        <v>45000</v>
      </c>
      <c r="G6" s="6">
        <v>38315</v>
      </c>
      <c r="H6" s="6">
        <v>51925</v>
      </c>
      <c r="I6" s="1" t="s">
        <v>86</v>
      </c>
      <c r="J6" s="1">
        <v>7698378390</v>
      </c>
      <c r="K6" s="1" t="s">
        <v>98</v>
      </c>
      <c r="L6" s="1" t="s">
        <v>87</v>
      </c>
      <c r="M6" s="1" t="s">
        <v>88</v>
      </c>
    </row>
    <row r="7" spans="1:13" x14ac:dyDescent="0.25">
      <c r="A7" s="1" t="s">
        <v>54</v>
      </c>
      <c r="B7" s="1" t="s">
        <v>93</v>
      </c>
      <c r="C7" s="1" t="s">
        <v>56</v>
      </c>
      <c r="D7" s="1" t="s">
        <v>32</v>
      </c>
      <c r="E7" s="1" t="s">
        <v>101</v>
      </c>
      <c r="F7" s="1">
        <v>90000</v>
      </c>
      <c r="G7" s="6" t="s">
        <v>94</v>
      </c>
      <c r="H7" s="6" t="s">
        <v>95</v>
      </c>
      <c r="I7" s="1" t="s">
        <v>96</v>
      </c>
      <c r="J7" s="1">
        <v>5654838228</v>
      </c>
      <c r="K7" s="1" t="s">
        <v>98</v>
      </c>
      <c r="L7" s="1" t="s">
        <v>46</v>
      </c>
      <c r="M7" s="1" t="s">
        <v>97</v>
      </c>
    </row>
    <row r="8" spans="1:13" x14ac:dyDescent="0.25">
      <c r="A8" s="1" t="s">
        <v>99</v>
      </c>
      <c r="B8" s="1" t="s">
        <v>100</v>
      </c>
      <c r="C8" s="1" t="s">
        <v>21</v>
      </c>
      <c r="D8" s="1" t="s">
        <v>9</v>
      </c>
      <c r="E8" s="1" t="s">
        <v>101</v>
      </c>
      <c r="F8" s="1">
        <v>125000</v>
      </c>
      <c r="G8" s="6">
        <v>41232</v>
      </c>
      <c r="H8" s="6">
        <v>53219</v>
      </c>
      <c r="I8" s="1" t="s">
        <v>102</v>
      </c>
      <c r="J8" s="1">
        <v>77390034</v>
      </c>
      <c r="K8" s="1" t="s">
        <v>98</v>
      </c>
      <c r="L8" s="1" t="s">
        <v>103</v>
      </c>
      <c r="M8" s="1" t="s">
        <v>104</v>
      </c>
    </row>
    <row r="9" spans="1:13" x14ac:dyDescent="0.25">
      <c r="A9" s="1" t="s">
        <v>105</v>
      </c>
      <c r="B9" s="1" t="s">
        <v>106</v>
      </c>
      <c r="C9" s="1" t="s">
        <v>39</v>
      </c>
      <c r="D9" s="1" t="s">
        <v>9</v>
      </c>
      <c r="E9" s="1" t="s">
        <v>107</v>
      </c>
      <c r="F9" s="1">
        <v>50000</v>
      </c>
      <c r="G9" s="6" t="s">
        <v>108</v>
      </c>
      <c r="H9" s="6" t="s">
        <v>109</v>
      </c>
      <c r="I9" s="1" t="s">
        <v>110</v>
      </c>
      <c r="J9" s="1">
        <v>879378809</v>
      </c>
      <c r="K9" s="1" t="s">
        <v>98</v>
      </c>
      <c r="L9" s="1" t="s">
        <v>46</v>
      </c>
      <c r="M9" s="1" t="s">
        <v>111</v>
      </c>
    </row>
    <row r="10" spans="1:13" x14ac:dyDescent="0.25">
      <c r="A10" s="1" t="s">
        <v>112</v>
      </c>
      <c r="B10" s="1" t="s">
        <v>113</v>
      </c>
      <c r="C10" s="1" t="s">
        <v>114</v>
      </c>
      <c r="D10" s="1" t="s">
        <v>32</v>
      </c>
      <c r="E10" s="1" t="s">
        <v>115</v>
      </c>
      <c r="F10" s="1">
        <v>45000</v>
      </c>
      <c r="G10" s="6">
        <v>41040</v>
      </c>
      <c r="H10" s="6" t="s">
        <v>118</v>
      </c>
      <c r="I10" s="1" t="s">
        <v>116</v>
      </c>
      <c r="J10" s="1">
        <v>987790077</v>
      </c>
      <c r="K10" s="1" t="s">
        <v>98</v>
      </c>
      <c r="L10" s="1" t="s">
        <v>46</v>
      </c>
      <c r="M10" s="1" t="s">
        <v>117</v>
      </c>
    </row>
    <row r="12" spans="1:13" ht="20.25" x14ac:dyDescent="0.35">
      <c r="J12" s="8" t="s">
        <v>68</v>
      </c>
      <c r="K12" s="8" t="s">
        <v>43</v>
      </c>
      <c r="L12" s="8" t="s">
        <v>45</v>
      </c>
      <c r="M12" s="8" t="s">
        <v>50</v>
      </c>
    </row>
    <row r="13" spans="1:13" x14ac:dyDescent="0.25">
      <c r="J13" s="1">
        <f>VLOOKUP(I5,I3:M10,2,FALSE)</f>
        <v>98063456789</v>
      </c>
      <c r="K13" s="1" t="str">
        <f t="shared" ref="K13:M18" si="0">VLOOKUP(J5,J3:N10,2,FALSE)</f>
        <v>FULL TIME</v>
      </c>
      <c r="L13" s="1" t="str">
        <f t="shared" si="0"/>
        <v>PRIVATE</v>
      </c>
      <c r="M13" s="1" t="str">
        <f t="shared" si="0"/>
        <v>CHATISGAD</v>
      </c>
    </row>
    <row r="14" spans="1:13" x14ac:dyDescent="0.25">
      <c r="J14" s="1">
        <f t="shared" ref="J14:J18" si="1">VLOOKUP(I6,I4:M11,2,FALSE)</f>
        <v>7698378390</v>
      </c>
      <c r="K14" s="1" t="str">
        <f t="shared" si="0"/>
        <v>FULL TIME</v>
      </c>
      <c r="L14" s="1" t="str">
        <f t="shared" si="0"/>
        <v>PRIVATE</v>
      </c>
      <c r="M14" s="1" t="str">
        <f t="shared" si="0"/>
        <v>JHARKAND</v>
      </c>
    </row>
    <row r="15" spans="1:13" x14ac:dyDescent="0.25">
      <c r="J15" s="1">
        <f t="shared" si="1"/>
        <v>5654838228</v>
      </c>
      <c r="K15" s="1" t="str">
        <f t="shared" si="0"/>
        <v>FULL TIME</v>
      </c>
      <c r="L15" s="1" t="str">
        <f t="shared" si="0"/>
        <v>CENTERAL GOVERMENT</v>
      </c>
      <c r="M15" s="1" t="str">
        <f t="shared" si="0"/>
        <v>KARNATAKA</v>
      </c>
    </row>
    <row r="16" spans="1:13" x14ac:dyDescent="0.25">
      <c r="J16" s="1">
        <f t="shared" si="1"/>
        <v>77390034</v>
      </c>
      <c r="K16" s="1" t="str">
        <f t="shared" si="0"/>
        <v>FULL TIME</v>
      </c>
      <c r="L16" s="1" t="str">
        <f t="shared" si="0"/>
        <v>CENTRAL GOVERNT</v>
      </c>
      <c r="M16" s="1" t="str">
        <f t="shared" si="0"/>
        <v>RAJSTHAN</v>
      </c>
    </row>
    <row r="17" spans="10:13" x14ac:dyDescent="0.25">
      <c r="J17" s="1">
        <f t="shared" si="1"/>
        <v>879378809</v>
      </c>
      <c r="K17" s="1" t="str">
        <f t="shared" si="0"/>
        <v>FULL TIME</v>
      </c>
      <c r="L17" s="1" t="str">
        <f t="shared" si="0"/>
        <v>PRIVATE</v>
      </c>
      <c r="M17" s="1" t="str">
        <f t="shared" si="0"/>
        <v>KARNATAKA</v>
      </c>
    </row>
    <row r="18" spans="10:13" x14ac:dyDescent="0.25">
      <c r="J18" s="1">
        <f t="shared" si="1"/>
        <v>987790077</v>
      </c>
      <c r="K18" s="1" t="str">
        <f t="shared" si="0"/>
        <v>FULL TIME</v>
      </c>
      <c r="L18" s="1" t="str">
        <f t="shared" si="0"/>
        <v>CENTERAL GOVE</v>
      </c>
      <c r="M18" s="1" t="str">
        <f t="shared" si="0"/>
        <v>URISHA</v>
      </c>
    </row>
  </sheetData>
  <dataValidations count="4">
    <dataValidation type="list" allowBlank="1" showInputMessage="1" showErrorMessage="1" sqref="L3:L10" xr:uid="{00000000-0002-0000-0100-000000000000}">
      <formula1>"PRIVATE,CENTRAL GOVERMANT,STATE GOVERMENT"</formula1>
    </dataValidation>
    <dataValidation type="list" allowBlank="1" showInputMessage="1" showErrorMessage="1" sqref="K3:K10" xr:uid="{00000000-0002-0000-0100-000001000000}">
      <formula1>"FULL TIME, PART TIME"</formula1>
    </dataValidation>
    <dataValidation type="list" allowBlank="1" showInputMessage="1" showErrorMessage="1" sqref="D3:D10" xr:uid="{00000000-0002-0000-0100-000002000000}">
      <formula1>"MALE,FAMALE"</formula1>
    </dataValidation>
    <dataValidation type="list" allowBlank="1" showInputMessage="1" showErrorMessage="1" sqref="F3:F10" xr:uid="{00000000-0002-0000-0100-000003000000}">
      <formula1>"105000,90000,125000,95000,60000,50000,45000,36000,85000,9600"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Hello</cp:lastModifiedBy>
  <dcterms:created xsi:type="dcterms:W3CDTF">2026-06-05T06:36:24Z</dcterms:created>
  <dcterms:modified xsi:type="dcterms:W3CDTF">2026-09-24T17:38:19Z</dcterms:modified>
</cp:coreProperties>
</file>