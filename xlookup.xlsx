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excel projects\"/>
    </mc:Choice>
  </mc:AlternateContent>
  <xr:revisionPtr revIDLastSave="0" documentId="13_ncr:1_{86FB7C92-9BDD-46BD-BC1E-B8A061001B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5" sheetId="5" r:id="rId3"/>
    <sheet name="Sheet4" sheetId="4" r:id="rId4"/>
    <sheet name="Sheet3" sheetId="3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I12" i="1" s="1"/>
  <c r="J12" i="1" s="1"/>
  <c r="K12" i="1" s="1"/>
  <c r="H3" i="2"/>
  <c r="H6" i="1"/>
  <c r="H3" i="1"/>
  <c r="F5" i="3"/>
  <c r="F6" i="3"/>
  <c r="F7" i="3"/>
  <c r="F8" i="3"/>
  <c r="F9" i="3"/>
  <c r="F10" i="3"/>
  <c r="F11" i="3"/>
  <c r="F12" i="3"/>
  <c r="F13" i="3"/>
  <c r="F4" i="3"/>
  <c r="H6" i="2"/>
  <c r="H12" i="2"/>
  <c r="I12" i="2" s="1"/>
  <c r="J12" i="2" s="1"/>
  <c r="K12" i="2" s="1"/>
</calcChain>
</file>

<file path=xl/sharedStrings.xml><?xml version="1.0" encoding="utf-8"?>
<sst xmlns="http://schemas.openxmlformats.org/spreadsheetml/2006/main" count="133" uniqueCount="50">
  <si>
    <t>HSN Code</t>
  </si>
  <si>
    <t>Seller Name</t>
  </si>
  <si>
    <t>Product Name</t>
  </si>
  <si>
    <t>Product ID</t>
  </si>
  <si>
    <t>Quntity   Sold</t>
  </si>
  <si>
    <t>Laptop</t>
  </si>
  <si>
    <t>LCD Tv</t>
  </si>
  <si>
    <t>Mobile</t>
  </si>
  <si>
    <t>Collur</t>
  </si>
  <si>
    <t>Printter</t>
  </si>
  <si>
    <t>Freez</t>
  </si>
  <si>
    <t>Scanner</t>
  </si>
  <si>
    <t>Keyboard</t>
  </si>
  <si>
    <t>Mouse</t>
  </si>
  <si>
    <t>Head phone</t>
  </si>
  <si>
    <t>AP0101</t>
  </si>
  <si>
    <t>AP0102</t>
  </si>
  <si>
    <t>AP0103</t>
  </si>
  <si>
    <t>AP0104</t>
  </si>
  <si>
    <t>AP0105</t>
  </si>
  <si>
    <t>AP0106</t>
  </si>
  <si>
    <t>AP0107</t>
  </si>
  <si>
    <t>AP0108</t>
  </si>
  <si>
    <t>AP0109</t>
  </si>
  <si>
    <t>AP0110</t>
  </si>
  <si>
    <t>DINESHAR</t>
  </si>
  <si>
    <t xml:space="preserve">RADH </t>
  </si>
  <si>
    <t>MNOJ</t>
  </si>
  <si>
    <t>BINOD</t>
  </si>
  <si>
    <t>SAMEE</t>
  </si>
  <si>
    <t>MOHAN</t>
  </si>
  <si>
    <t>KRISH</t>
  </si>
  <si>
    <t>PINKI</t>
  </si>
  <si>
    <t>MOHIT</t>
  </si>
  <si>
    <t>Quntity Sold</t>
  </si>
  <si>
    <t xml:space="preserve">VLOOKUP(vertical wise Search) </t>
  </si>
  <si>
    <t xml:space="preserve"> </t>
  </si>
  <si>
    <t>PRINTTER</t>
  </si>
  <si>
    <t>January</t>
  </si>
  <si>
    <t>Febuary</t>
  </si>
  <si>
    <t>March</t>
  </si>
  <si>
    <t>Totale Sales</t>
  </si>
  <si>
    <t>Row Labels</t>
  </si>
  <si>
    <t>Grand Total</t>
  </si>
  <si>
    <t>Sum of January</t>
  </si>
  <si>
    <t>Values</t>
  </si>
  <si>
    <t>Sum of Febuary</t>
  </si>
  <si>
    <t>Sum of March</t>
  </si>
  <si>
    <t>Sum of Totale Sales</t>
  </si>
  <si>
    <t xml:space="preserve">XLOOKUP(vertical and Horizontal wise Search)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</si>
</sst>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2" xfId="0" applyFont="1" applyFill="1" applyBorder="1"/>
    <xf numFmtId="0" fontId="0" fillId="0" borderId="3" xfId="0" applyBorder="1"/>
    <xf numFmtId="0" fontId="0" fillId="2" borderId="4" xfId="0" applyFill="1" applyBorder="1"/>
    <xf numFmtId="0" fontId="0" fillId="2" borderId="4" xfId="0" applyFill="1" applyBorder="1" applyAlignment="1">
      <alignment horizontal="left"/>
    </xf>
    <xf numFmtId="0" fontId="2" fillId="0" borderId="3" xfId="0" applyFont="1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4" fillId="2" borderId="2" xfId="0" applyFont="1" applyFill="1" applyBorder="1"/>
    <xf numFmtId="0" fontId="2" fillId="0" borderId="3" xfId="0" applyFont="1" applyBorder="1" applyAlignment="1">
      <alignment horizontal="left"/>
    </xf>
    <xf numFmtId="0" fontId="0" fillId="5" borderId="1" xfId="0" applyFill="1" applyBorder="1"/>
    <xf numFmtId="0" fontId="5" fillId="2" borderId="1" xfId="0" applyFont="1" applyFill="1" applyBorder="1"/>
    <xf numFmtId="0" fontId="2" fillId="5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7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[xlookup.xlsx]Sheet4!PivotTable1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Sheet4!$B$4:$B$5</c:f>
              <c:strCache>
                <c:ptCount val="1"/>
                <c:pt idx="0">
                  <c:v>Sum of January</c:v>
                </c:pt>
              </c:strCache>
            </c:strRef>
          </c:tx>
          <c:invertIfNegative val="0"/>
          <c:cat>
            <c:strRef>
              <c:f>Sheet4!$A$6:$A$16</c:f>
              <c:strCache>
                <c:ptCount val="10"/>
                <c:pt idx="0">
                  <c:v>Collur</c:v>
                </c:pt>
                <c:pt idx="1">
                  <c:v>Freez</c:v>
                </c:pt>
                <c:pt idx="2">
                  <c:v>Head phone</c:v>
                </c:pt>
                <c:pt idx="3">
                  <c:v>Keyboard</c:v>
                </c:pt>
                <c:pt idx="4">
                  <c:v>Laptop</c:v>
                </c:pt>
                <c:pt idx="5">
                  <c:v>LCD Tv</c:v>
                </c:pt>
                <c:pt idx="6">
                  <c:v>Mobile</c:v>
                </c:pt>
                <c:pt idx="7">
                  <c:v>Mouse</c:v>
                </c:pt>
                <c:pt idx="8">
                  <c:v>Printter</c:v>
                </c:pt>
                <c:pt idx="9">
                  <c:v>Scanner</c:v>
                </c:pt>
              </c:strCache>
            </c:strRef>
          </c:cat>
          <c:val>
            <c:numRef>
              <c:f>Sheet4!$B$6:$B$16</c:f>
              <c:numCache>
                <c:formatCode>General</c:formatCode>
                <c:ptCount val="10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0-45A5-A359-72D9B8B56BE0}"/>
            </c:ext>
          </c:extLst>
        </c:ser>
        <c:ser>
          <c:idx val="1"/>
          <c:order val="1"/>
          <c:tx>
            <c:strRef>
              <c:f>Sheet4!$C$4:$C$5</c:f>
              <c:strCache>
                <c:ptCount val="1"/>
                <c:pt idx="0">
                  <c:v>Sum of Febuary</c:v>
                </c:pt>
              </c:strCache>
            </c:strRef>
          </c:tx>
          <c:invertIfNegative val="0"/>
          <c:cat>
            <c:strRef>
              <c:f>Sheet4!$A$6:$A$16</c:f>
              <c:strCache>
                <c:ptCount val="10"/>
                <c:pt idx="0">
                  <c:v>Collur</c:v>
                </c:pt>
                <c:pt idx="1">
                  <c:v>Freez</c:v>
                </c:pt>
                <c:pt idx="2">
                  <c:v>Head phone</c:v>
                </c:pt>
                <c:pt idx="3">
                  <c:v>Keyboard</c:v>
                </c:pt>
                <c:pt idx="4">
                  <c:v>Laptop</c:v>
                </c:pt>
                <c:pt idx="5">
                  <c:v>LCD Tv</c:v>
                </c:pt>
                <c:pt idx="6">
                  <c:v>Mobile</c:v>
                </c:pt>
                <c:pt idx="7">
                  <c:v>Mouse</c:v>
                </c:pt>
                <c:pt idx="8">
                  <c:v>Printter</c:v>
                </c:pt>
                <c:pt idx="9">
                  <c:v>Scanner</c:v>
                </c:pt>
              </c:strCache>
            </c:strRef>
          </c:cat>
          <c:val>
            <c:numRef>
              <c:f>Sheet4!$C$6:$C$16</c:f>
              <c:numCache>
                <c:formatCode>General</c:formatCode>
                <c:ptCount val="10"/>
                <c:pt idx="0">
                  <c:v>500</c:v>
                </c:pt>
                <c:pt idx="1">
                  <c:v>700</c:v>
                </c:pt>
                <c:pt idx="2">
                  <c:v>900</c:v>
                </c:pt>
                <c:pt idx="3">
                  <c:v>1100</c:v>
                </c:pt>
                <c:pt idx="4">
                  <c:v>1300</c:v>
                </c:pt>
                <c:pt idx="5">
                  <c:v>1500</c:v>
                </c:pt>
                <c:pt idx="6">
                  <c:v>1700</c:v>
                </c:pt>
                <c:pt idx="7">
                  <c:v>1900</c:v>
                </c:pt>
                <c:pt idx="8">
                  <c:v>2100</c:v>
                </c:pt>
                <c:pt idx="9">
                  <c:v>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80-45A5-A359-72D9B8B56BE0}"/>
            </c:ext>
          </c:extLst>
        </c:ser>
        <c:ser>
          <c:idx val="2"/>
          <c:order val="2"/>
          <c:tx>
            <c:strRef>
              <c:f>Sheet4!$D$4:$D$5</c:f>
              <c:strCache>
                <c:ptCount val="1"/>
                <c:pt idx="0">
                  <c:v>Sum of March</c:v>
                </c:pt>
              </c:strCache>
            </c:strRef>
          </c:tx>
          <c:invertIfNegative val="0"/>
          <c:cat>
            <c:strRef>
              <c:f>Sheet4!$A$6:$A$16</c:f>
              <c:strCache>
                <c:ptCount val="10"/>
                <c:pt idx="0">
                  <c:v>Collur</c:v>
                </c:pt>
                <c:pt idx="1">
                  <c:v>Freez</c:v>
                </c:pt>
                <c:pt idx="2">
                  <c:v>Head phone</c:v>
                </c:pt>
                <c:pt idx="3">
                  <c:v>Keyboard</c:v>
                </c:pt>
                <c:pt idx="4">
                  <c:v>Laptop</c:v>
                </c:pt>
                <c:pt idx="5">
                  <c:v>LCD Tv</c:v>
                </c:pt>
                <c:pt idx="6">
                  <c:v>Mobile</c:v>
                </c:pt>
                <c:pt idx="7">
                  <c:v>Mouse</c:v>
                </c:pt>
                <c:pt idx="8">
                  <c:v>Printter</c:v>
                </c:pt>
                <c:pt idx="9">
                  <c:v>Scanner</c:v>
                </c:pt>
              </c:strCache>
            </c:strRef>
          </c:cat>
          <c:val>
            <c:numRef>
              <c:f>Sheet4!$D$6:$D$16</c:f>
              <c:numCache>
                <c:formatCode>General</c:formatCode>
                <c:ptCount val="10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80-45A5-A359-72D9B8B56BE0}"/>
            </c:ext>
          </c:extLst>
        </c:ser>
        <c:ser>
          <c:idx val="3"/>
          <c:order val="3"/>
          <c:tx>
            <c:strRef>
              <c:f>Sheet4!$E$4:$E$5</c:f>
              <c:strCache>
                <c:ptCount val="1"/>
                <c:pt idx="0">
                  <c:v>Sum of Totale Sales</c:v>
                </c:pt>
              </c:strCache>
            </c:strRef>
          </c:tx>
          <c:invertIfNegative val="0"/>
          <c:cat>
            <c:strRef>
              <c:f>Sheet4!$A$6:$A$16</c:f>
              <c:strCache>
                <c:ptCount val="10"/>
                <c:pt idx="0">
                  <c:v>Collur</c:v>
                </c:pt>
                <c:pt idx="1">
                  <c:v>Freez</c:v>
                </c:pt>
                <c:pt idx="2">
                  <c:v>Head phone</c:v>
                </c:pt>
                <c:pt idx="3">
                  <c:v>Keyboard</c:v>
                </c:pt>
                <c:pt idx="4">
                  <c:v>Laptop</c:v>
                </c:pt>
                <c:pt idx="5">
                  <c:v>LCD Tv</c:v>
                </c:pt>
                <c:pt idx="6">
                  <c:v>Mobile</c:v>
                </c:pt>
                <c:pt idx="7">
                  <c:v>Mouse</c:v>
                </c:pt>
                <c:pt idx="8">
                  <c:v>Printter</c:v>
                </c:pt>
                <c:pt idx="9">
                  <c:v>Scanner</c:v>
                </c:pt>
              </c:strCache>
            </c:strRef>
          </c:cat>
          <c:val>
            <c:numRef>
              <c:f>Sheet4!$E$6:$E$16</c:f>
              <c:numCache>
                <c:formatCode>General</c:formatCode>
                <c:ptCount val="10"/>
                <c:pt idx="0">
                  <c:v>1100</c:v>
                </c:pt>
                <c:pt idx="1">
                  <c:v>1500</c:v>
                </c:pt>
                <c:pt idx="2">
                  <c:v>1900</c:v>
                </c:pt>
                <c:pt idx="3">
                  <c:v>2300</c:v>
                </c:pt>
                <c:pt idx="4">
                  <c:v>2700</c:v>
                </c:pt>
                <c:pt idx="5">
                  <c:v>3100</c:v>
                </c:pt>
                <c:pt idx="6">
                  <c:v>3500</c:v>
                </c:pt>
                <c:pt idx="7">
                  <c:v>3900</c:v>
                </c:pt>
                <c:pt idx="8">
                  <c:v>4300</c:v>
                </c:pt>
                <c:pt idx="9">
                  <c:v>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80-45A5-A359-72D9B8B56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39733120"/>
        <c:axId val="39734656"/>
        <c:axId val="0"/>
      </c:bar3DChart>
      <c:catAx>
        <c:axId val="397331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9734656"/>
        <c:crosses val="autoZero"/>
        <c:auto val="1"/>
        <c:lblAlgn val="ctr"/>
        <c:lblOffset val="100"/>
        <c:noMultiLvlLbl val="0"/>
      </c:catAx>
      <c:valAx>
        <c:axId val="39734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733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[xlookup.xlsx]Sheet4!PivotTable1</c:name>
    <c:fmtId val="1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026657812351709E-2"/>
          <c:y val="0.15120389310766774"/>
          <c:w val="0.53715048118985131"/>
          <c:h val="0.65264800233304254"/>
        </c:manualLayout>
      </c:layout>
      <c:doughnutChart>
        <c:varyColors val="1"/>
        <c:ser>
          <c:idx val="0"/>
          <c:order val="0"/>
          <c:tx>
            <c:strRef>
              <c:f>Sheet4!$B$4:$B$5</c:f>
              <c:strCache>
                <c:ptCount val="1"/>
                <c:pt idx="0">
                  <c:v>Sum of January</c:v>
                </c:pt>
              </c:strCache>
            </c:strRef>
          </c:tx>
          <c:cat>
            <c:strRef>
              <c:f>Sheet4!$A$6:$A$16</c:f>
              <c:strCache>
                <c:ptCount val="10"/>
                <c:pt idx="0">
                  <c:v>Collur</c:v>
                </c:pt>
                <c:pt idx="1">
                  <c:v>Freez</c:v>
                </c:pt>
                <c:pt idx="2">
                  <c:v>Head phone</c:v>
                </c:pt>
                <c:pt idx="3">
                  <c:v>Keyboard</c:v>
                </c:pt>
                <c:pt idx="4">
                  <c:v>Laptop</c:v>
                </c:pt>
                <c:pt idx="5">
                  <c:v>LCD Tv</c:v>
                </c:pt>
                <c:pt idx="6">
                  <c:v>Mobile</c:v>
                </c:pt>
                <c:pt idx="7">
                  <c:v>Mouse</c:v>
                </c:pt>
                <c:pt idx="8">
                  <c:v>Printter</c:v>
                </c:pt>
                <c:pt idx="9">
                  <c:v>Scanner</c:v>
                </c:pt>
              </c:strCache>
            </c:strRef>
          </c:cat>
          <c:val>
            <c:numRef>
              <c:f>Sheet4!$B$6:$B$16</c:f>
              <c:numCache>
                <c:formatCode>General</c:formatCode>
                <c:ptCount val="10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F-4ABA-8F87-B945ABBBEB1E}"/>
            </c:ext>
          </c:extLst>
        </c:ser>
        <c:ser>
          <c:idx val="1"/>
          <c:order val="1"/>
          <c:tx>
            <c:strRef>
              <c:f>Sheet4!$C$4:$C$5</c:f>
              <c:strCache>
                <c:ptCount val="1"/>
                <c:pt idx="0">
                  <c:v>Sum of Febuary</c:v>
                </c:pt>
              </c:strCache>
            </c:strRef>
          </c:tx>
          <c:cat>
            <c:strRef>
              <c:f>Sheet4!$A$6:$A$16</c:f>
              <c:strCache>
                <c:ptCount val="10"/>
                <c:pt idx="0">
                  <c:v>Collur</c:v>
                </c:pt>
                <c:pt idx="1">
                  <c:v>Freez</c:v>
                </c:pt>
                <c:pt idx="2">
                  <c:v>Head phone</c:v>
                </c:pt>
                <c:pt idx="3">
                  <c:v>Keyboard</c:v>
                </c:pt>
                <c:pt idx="4">
                  <c:v>Laptop</c:v>
                </c:pt>
                <c:pt idx="5">
                  <c:v>LCD Tv</c:v>
                </c:pt>
                <c:pt idx="6">
                  <c:v>Mobile</c:v>
                </c:pt>
                <c:pt idx="7">
                  <c:v>Mouse</c:v>
                </c:pt>
                <c:pt idx="8">
                  <c:v>Printter</c:v>
                </c:pt>
                <c:pt idx="9">
                  <c:v>Scanner</c:v>
                </c:pt>
              </c:strCache>
            </c:strRef>
          </c:cat>
          <c:val>
            <c:numRef>
              <c:f>Sheet4!$C$6:$C$16</c:f>
              <c:numCache>
                <c:formatCode>General</c:formatCode>
                <c:ptCount val="10"/>
                <c:pt idx="0">
                  <c:v>500</c:v>
                </c:pt>
                <c:pt idx="1">
                  <c:v>700</c:v>
                </c:pt>
                <c:pt idx="2">
                  <c:v>900</c:v>
                </c:pt>
                <c:pt idx="3">
                  <c:v>1100</c:v>
                </c:pt>
                <c:pt idx="4">
                  <c:v>1300</c:v>
                </c:pt>
                <c:pt idx="5">
                  <c:v>1500</c:v>
                </c:pt>
                <c:pt idx="6">
                  <c:v>1700</c:v>
                </c:pt>
                <c:pt idx="7">
                  <c:v>1900</c:v>
                </c:pt>
                <c:pt idx="8">
                  <c:v>2100</c:v>
                </c:pt>
                <c:pt idx="9">
                  <c:v>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2F-4ABA-8F87-B945ABBBEB1E}"/>
            </c:ext>
          </c:extLst>
        </c:ser>
        <c:ser>
          <c:idx val="2"/>
          <c:order val="2"/>
          <c:tx>
            <c:strRef>
              <c:f>Sheet4!$D$4:$D$5</c:f>
              <c:strCache>
                <c:ptCount val="1"/>
                <c:pt idx="0">
                  <c:v>Sum of March</c:v>
                </c:pt>
              </c:strCache>
            </c:strRef>
          </c:tx>
          <c:cat>
            <c:strRef>
              <c:f>Sheet4!$A$6:$A$16</c:f>
              <c:strCache>
                <c:ptCount val="10"/>
                <c:pt idx="0">
                  <c:v>Collur</c:v>
                </c:pt>
                <c:pt idx="1">
                  <c:v>Freez</c:v>
                </c:pt>
                <c:pt idx="2">
                  <c:v>Head phone</c:v>
                </c:pt>
                <c:pt idx="3">
                  <c:v>Keyboard</c:v>
                </c:pt>
                <c:pt idx="4">
                  <c:v>Laptop</c:v>
                </c:pt>
                <c:pt idx="5">
                  <c:v>LCD Tv</c:v>
                </c:pt>
                <c:pt idx="6">
                  <c:v>Mobile</c:v>
                </c:pt>
                <c:pt idx="7">
                  <c:v>Mouse</c:v>
                </c:pt>
                <c:pt idx="8">
                  <c:v>Printter</c:v>
                </c:pt>
                <c:pt idx="9">
                  <c:v>Scanner</c:v>
                </c:pt>
              </c:strCache>
            </c:strRef>
          </c:cat>
          <c:val>
            <c:numRef>
              <c:f>Sheet4!$D$6:$D$16</c:f>
              <c:numCache>
                <c:formatCode>General</c:formatCode>
                <c:ptCount val="10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2F-4ABA-8F87-B945ABBBEB1E}"/>
            </c:ext>
          </c:extLst>
        </c:ser>
        <c:ser>
          <c:idx val="3"/>
          <c:order val="3"/>
          <c:tx>
            <c:strRef>
              <c:f>Sheet4!$E$4:$E$5</c:f>
              <c:strCache>
                <c:ptCount val="1"/>
                <c:pt idx="0">
                  <c:v>Sum of Totale Sales</c:v>
                </c:pt>
              </c:strCache>
            </c:strRef>
          </c:tx>
          <c:cat>
            <c:strRef>
              <c:f>Sheet4!$A$6:$A$16</c:f>
              <c:strCache>
                <c:ptCount val="10"/>
                <c:pt idx="0">
                  <c:v>Collur</c:v>
                </c:pt>
                <c:pt idx="1">
                  <c:v>Freez</c:v>
                </c:pt>
                <c:pt idx="2">
                  <c:v>Head phone</c:v>
                </c:pt>
                <c:pt idx="3">
                  <c:v>Keyboard</c:v>
                </c:pt>
                <c:pt idx="4">
                  <c:v>Laptop</c:v>
                </c:pt>
                <c:pt idx="5">
                  <c:v>LCD Tv</c:v>
                </c:pt>
                <c:pt idx="6">
                  <c:v>Mobile</c:v>
                </c:pt>
                <c:pt idx="7">
                  <c:v>Mouse</c:v>
                </c:pt>
                <c:pt idx="8">
                  <c:v>Printter</c:v>
                </c:pt>
                <c:pt idx="9">
                  <c:v>Scanner</c:v>
                </c:pt>
              </c:strCache>
            </c:strRef>
          </c:cat>
          <c:val>
            <c:numRef>
              <c:f>Sheet4!$E$6:$E$16</c:f>
              <c:numCache>
                <c:formatCode>General</c:formatCode>
                <c:ptCount val="10"/>
                <c:pt idx="0">
                  <c:v>1100</c:v>
                </c:pt>
                <c:pt idx="1">
                  <c:v>1500</c:v>
                </c:pt>
                <c:pt idx="2">
                  <c:v>1900</c:v>
                </c:pt>
                <c:pt idx="3">
                  <c:v>2300</c:v>
                </c:pt>
                <c:pt idx="4">
                  <c:v>2700</c:v>
                </c:pt>
                <c:pt idx="5">
                  <c:v>3100</c:v>
                </c:pt>
                <c:pt idx="6">
                  <c:v>3500</c:v>
                </c:pt>
                <c:pt idx="7">
                  <c:v>3900</c:v>
                </c:pt>
                <c:pt idx="8">
                  <c:v>4300</c:v>
                </c:pt>
                <c:pt idx="9">
                  <c:v>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2F-4ABA-8F87-B945ABBBE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[xlookup.xlsx]Sheet4!PivotTable1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Sum of total month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94306019966689"/>
          <c:y val="0.13180235452634587"/>
          <c:w val="0.48485504380445626"/>
          <c:h val="0.75041197162459694"/>
        </c:manualLayout>
      </c:layout>
      <c:pieChart>
        <c:varyColors val="1"/>
        <c:ser>
          <c:idx val="0"/>
          <c:order val="0"/>
          <c:tx>
            <c:strRef>
              <c:f>Sheet4!$B$4:$B$5</c:f>
              <c:strCache>
                <c:ptCount val="1"/>
                <c:pt idx="0">
                  <c:v>Sum of January</c:v>
                </c:pt>
              </c:strCache>
            </c:strRef>
          </c:tx>
          <c:cat>
            <c:strRef>
              <c:f>Sheet4!$A$6:$A$16</c:f>
              <c:strCache>
                <c:ptCount val="10"/>
                <c:pt idx="0">
                  <c:v>Collur</c:v>
                </c:pt>
                <c:pt idx="1">
                  <c:v>Freez</c:v>
                </c:pt>
                <c:pt idx="2">
                  <c:v>Head phone</c:v>
                </c:pt>
                <c:pt idx="3">
                  <c:v>Keyboard</c:v>
                </c:pt>
                <c:pt idx="4">
                  <c:v>Laptop</c:v>
                </c:pt>
                <c:pt idx="5">
                  <c:v>LCD Tv</c:v>
                </c:pt>
                <c:pt idx="6">
                  <c:v>Mobile</c:v>
                </c:pt>
                <c:pt idx="7">
                  <c:v>Mouse</c:v>
                </c:pt>
                <c:pt idx="8">
                  <c:v>Printter</c:v>
                </c:pt>
                <c:pt idx="9">
                  <c:v>Scanner</c:v>
                </c:pt>
              </c:strCache>
            </c:strRef>
          </c:cat>
          <c:val>
            <c:numRef>
              <c:f>Sheet4!$B$6:$B$16</c:f>
              <c:numCache>
                <c:formatCode>General</c:formatCode>
                <c:ptCount val="10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F-486C-8C0A-9763FB8E4BF4}"/>
            </c:ext>
          </c:extLst>
        </c:ser>
        <c:ser>
          <c:idx val="1"/>
          <c:order val="1"/>
          <c:tx>
            <c:strRef>
              <c:f>Sheet4!$C$4:$C$5</c:f>
              <c:strCache>
                <c:ptCount val="1"/>
                <c:pt idx="0">
                  <c:v>Sum of Febuary</c:v>
                </c:pt>
              </c:strCache>
            </c:strRef>
          </c:tx>
          <c:cat>
            <c:strRef>
              <c:f>Sheet4!$A$6:$A$16</c:f>
              <c:strCache>
                <c:ptCount val="10"/>
                <c:pt idx="0">
                  <c:v>Collur</c:v>
                </c:pt>
                <c:pt idx="1">
                  <c:v>Freez</c:v>
                </c:pt>
                <c:pt idx="2">
                  <c:v>Head phone</c:v>
                </c:pt>
                <c:pt idx="3">
                  <c:v>Keyboard</c:v>
                </c:pt>
                <c:pt idx="4">
                  <c:v>Laptop</c:v>
                </c:pt>
                <c:pt idx="5">
                  <c:v>LCD Tv</c:v>
                </c:pt>
                <c:pt idx="6">
                  <c:v>Mobile</c:v>
                </c:pt>
                <c:pt idx="7">
                  <c:v>Mouse</c:v>
                </c:pt>
                <c:pt idx="8">
                  <c:v>Printter</c:v>
                </c:pt>
                <c:pt idx="9">
                  <c:v>Scanner</c:v>
                </c:pt>
              </c:strCache>
            </c:strRef>
          </c:cat>
          <c:val>
            <c:numRef>
              <c:f>Sheet4!$C$6:$C$16</c:f>
              <c:numCache>
                <c:formatCode>General</c:formatCode>
                <c:ptCount val="10"/>
                <c:pt idx="0">
                  <c:v>500</c:v>
                </c:pt>
                <c:pt idx="1">
                  <c:v>700</c:v>
                </c:pt>
                <c:pt idx="2">
                  <c:v>900</c:v>
                </c:pt>
                <c:pt idx="3">
                  <c:v>1100</c:v>
                </c:pt>
                <c:pt idx="4">
                  <c:v>1300</c:v>
                </c:pt>
                <c:pt idx="5">
                  <c:v>1500</c:v>
                </c:pt>
                <c:pt idx="6">
                  <c:v>1700</c:v>
                </c:pt>
                <c:pt idx="7">
                  <c:v>1900</c:v>
                </c:pt>
                <c:pt idx="8">
                  <c:v>2100</c:v>
                </c:pt>
                <c:pt idx="9">
                  <c:v>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7F-486C-8C0A-9763FB8E4BF4}"/>
            </c:ext>
          </c:extLst>
        </c:ser>
        <c:ser>
          <c:idx val="2"/>
          <c:order val="2"/>
          <c:tx>
            <c:strRef>
              <c:f>Sheet4!$D$4:$D$5</c:f>
              <c:strCache>
                <c:ptCount val="1"/>
                <c:pt idx="0">
                  <c:v>Sum of March</c:v>
                </c:pt>
              </c:strCache>
            </c:strRef>
          </c:tx>
          <c:cat>
            <c:strRef>
              <c:f>Sheet4!$A$6:$A$16</c:f>
              <c:strCache>
                <c:ptCount val="10"/>
                <c:pt idx="0">
                  <c:v>Collur</c:v>
                </c:pt>
                <c:pt idx="1">
                  <c:v>Freez</c:v>
                </c:pt>
                <c:pt idx="2">
                  <c:v>Head phone</c:v>
                </c:pt>
                <c:pt idx="3">
                  <c:v>Keyboard</c:v>
                </c:pt>
                <c:pt idx="4">
                  <c:v>Laptop</c:v>
                </c:pt>
                <c:pt idx="5">
                  <c:v>LCD Tv</c:v>
                </c:pt>
                <c:pt idx="6">
                  <c:v>Mobile</c:v>
                </c:pt>
                <c:pt idx="7">
                  <c:v>Mouse</c:v>
                </c:pt>
                <c:pt idx="8">
                  <c:v>Printter</c:v>
                </c:pt>
                <c:pt idx="9">
                  <c:v>Scanner</c:v>
                </c:pt>
              </c:strCache>
            </c:strRef>
          </c:cat>
          <c:val>
            <c:numRef>
              <c:f>Sheet4!$D$6:$D$16</c:f>
              <c:numCache>
                <c:formatCode>General</c:formatCode>
                <c:ptCount val="10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7F-486C-8C0A-9763FB8E4BF4}"/>
            </c:ext>
          </c:extLst>
        </c:ser>
        <c:ser>
          <c:idx val="3"/>
          <c:order val="3"/>
          <c:tx>
            <c:strRef>
              <c:f>Sheet4!$E$4:$E$5</c:f>
              <c:strCache>
                <c:ptCount val="1"/>
                <c:pt idx="0">
                  <c:v>Sum of Totale Sales</c:v>
                </c:pt>
              </c:strCache>
            </c:strRef>
          </c:tx>
          <c:cat>
            <c:strRef>
              <c:f>Sheet4!$A$6:$A$16</c:f>
              <c:strCache>
                <c:ptCount val="10"/>
                <c:pt idx="0">
                  <c:v>Collur</c:v>
                </c:pt>
                <c:pt idx="1">
                  <c:v>Freez</c:v>
                </c:pt>
                <c:pt idx="2">
                  <c:v>Head phone</c:v>
                </c:pt>
                <c:pt idx="3">
                  <c:v>Keyboard</c:v>
                </c:pt>
                <c:pt idx="4">
                  <c:v>Laptop</c:v>
                </c:pt>
                <c:pt idx="5">
                  <c:v>LCD Tv</c:v>
                </c:pt>
                <c:pt idx="6">
                  <c:v>Mobile</c:v>
                </c:pt>
                <c:pt idx="7">
                  <c:v>Mouse</c:v>
                </c:pt>
                <c:pt idx="8">
                  <c:v>Printter</c:v>
                </c:pt>
                <c:pt idx="9">
                  <c:v>Scanner</c:v>
                </c:pt>
              </c:strCache>
            </c:strRef>
          </c:cat>
          <c:val>
            <c:numRef>
              <c:f>Sheet4!$E$6:$E$16</c:f>
              <c:numCache>
                <c:formatCode>General</c:formatCode>
                <c:ptCount val="10"/>
                <c:pt idx="0">
                  <c:v>1100</c:v>
                </c:pt>
                <c:pt idx="1">
                  <c:v>1500</c:v>
                </c:pt>
                <c:pt idx="2">
                  <c:v>1900</c:v>
                </c:pt>
                <c:pt idx="3">
                  <c:v>2300</c:v>
                </c:pt>
                <c:pt idx="4">
                  <c:v>2700</c:v>
                </c:pt>
                <c:pt idx="5">
                  <c:v>3100</c:v>
                </c:pt>
                <c:pt idx="6">
                  <c:v>3500</c:v>
                </c:pt>
                <c:pt idx="7">
                  <c:v>3900</c:v>
                </c:pt>
                <c:pt idx="8">
                  <c:v>4300</c:v>
                </c:pt>
                <c:pt idx="9">
                  <c:v>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7F-486C-8C0A-9763FB8E4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3568170609343444"/>
          <c:y val="0.21584517237836381"/>
          <c:w val="0.20292762031748321"/>
          <c:h val="0.7039576987183171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[xlookup.xlsx]Sheet4!PivotTable1</c:name>
    <c:fmtId val="3"/>
  </c:pivotSource>
  <c:chart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Sheet4!$B$4:$B$5</c:f>
              <c:strCache>
                <c:ptCount val="1"/>
                <c:pt idx="0">
                  <c:v>Sum of January</c:v>
                </c:pt>
              </c:strCache>
            </c:strRef>
          </c:tx>
          <c:invertIfNegative val="0"/>
          <c:cat>
            <c:strRef>
              <c:f>Sheet4!$A$6:$A$16</c:f>
              <c:strCache>
                <c:ptCount val="10"/>
                <c:pt idx="0">
                  <c:v>Collur</c:v>
                </c:pt>
                <c:pt idx="1">
                  <c:v>Freez</c:v>
                </c:pt>
                <c:pt idx="2">
                  <c:v>Head phone</c:v>
                </c:pt>
                <c:pt idx="3">
                  <c:v>Keyboard</c:v>
                </c:pt>
                <c:pt idx="4">
                  <c:v>Laptop</c:v>
                </c:pt>
                <c:pt idx="5">
                  <c:v>LCD Tv</c:v>
                </c:pt>
                <c:pt idx="6">
                  <c:v>Mobile</c:v>
                </c:pt>
                <c:pt idx="7">
                  <c:v>Mouse</c:v>
                </c:pt>
                <c:pt idx="8">
                  <c:v>Printter</c:v>
                </c:pt>
                <c:pt idx="9">
                  <c:v>Scanner</c:v>
                </c:pt>
              </c:strCache>
            </c:strRef>
          </c:cat>
          <c:val>
            <c:numRef>
              <c:f>Sheet4!$B$6:$B$16</c:f>
              <c:numCache>
                <c:formatCode>General</c:formatCode>
                <c:ptCount val="10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0-4784-A9B3-F5B8482E9592}"/>
            </c:ext>
          </c:extLst>
        </c:ser>
        <c:ser>
          <c:idx val="1"/>
          <c:order val="1"/>
          <c:tx>
            <c:strRef>
              <c:f>Sheet4!$C$4:$C$5</c:f>
              <c:strCache>
                <c:ptCount val="1"/>
                <c:pt idx="0">
                  <c:v>Sum of Febuary</c:v>
                </c:pt>
              </c:strCache>
            </c:strRef>
          </c:tx>
          <c:invertIfNegative val="0"/>
          <c:cat>
            <c:strRef>
              <c:f>Sheet4!$A$6:$A$16</c:f>
              <c:strCache>
                <c:ptCount val="10"/>
                <c:pt idx="0">
                  <c:v>Collur</c:v>
                </c:pt>
                <c:pt idx="1">
                  <c:v>Freez</c:v>
                </c:pt>
                <c:pt idx="2">
                  <c:v>Head phone</c:v>
                </c:pt>
                <c:pt idx="3">
                  <c:v>Keyboard</c:v>
                </c:pt>
                <c:pt idx="4">
                  <c:v>Laptop</c:v>
                </c:pt>
                <c:pt idx="5">
                  <c:v>LCD Tv</c:v>
                </c:pt>
                <c:pt idx="6">
                  <c:v>Mobile</c:v>
                </c:pt>
                <c:pt idx="7">
                  <c:v>Mouse</c:v>
                </c:pt>
                <c:pt idx="8">
                  <c:v>Printter</c:v>
                </c:pt>
                <c:pt idx="9">
                  <c:v>Scanner</c:v>
                </c:pt>
              </c:strCache>
            </c:strRef>
          </c:cat>
          <c:val>
            <c:numRef>
              <c:f>Sheet4!$C$6:$C$16</c:f>
              <c:numCache>
                <c:formatCode>General</c:formatCode>
                <c:ptCount val="10"/>
                <c:pt idx="0">
                  <c:v>500</c:v>
                </c:pt>
                <c:pt idx="1">
                  <c:v>700</c:v>
                </c:pt>
                <c:pt idx="2">
                  <c:v>900</c:v>
                </c:pt>
                <c:pt idx="3">
                  <c:v>1100</c:v>
                </c:pt>
                <c:pt idx="4">
                  <c:v>1300</c:v>
                </c:pt>
                <c:pt idx="5">
                  <c:v>1500</c:v>
                </c:pt>
                <c:pt idx="6">
                  <c:v>1700</c:v>
                </c:pt>
                <c:pt idx="7">
                  <c:v>1900</c:v>
                </c:pt>
                <c:pt idx="8">
                  <c:v>2100</c:v>
                </c:pt>
                <c:pt idx="9">
                  <c:v>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60-4784-A9B3-F5B8482E9592}"/>
            </c:ext>
          </c:extLst>
        </c:ser>
        <c:ser>
          <c:idx val="2"/>
          <c:order val="2"/>
          <c:tx>
            <c:strRef>
              <c:f>Sheet4!$D$4:$D$5</c:f>
              <c:strCache>
                <c:ptCount val="1"/>
                <c:pt idx="0">
                  <c:v>Sum of March</c:v>
                </c:pt>
              </c:strCache>
            </c:strRef>
          </c:tx>
          <c:invertIfNegative val="0"/>
          <c:cat>
            <c:strRef>
              <c:f>Sheet4!$A$6:$A$16</c:f>
              <c:strCache>
                <c:ptCount val="10"/>
                <c:pt idx="0">
                  <c:v>Collur</c:v>
                </c:pt>
                <c:pt idx="1">
                  <c:v>Freez</c:v>
                </c:pt>
                <c:pt idx="2">
                  <c:v>Head phone</c:v>
                </c:pt>
                <c:pt idx="3">
                  <c:v>Keyboard</c:v>
                </c:pt>
                <c:pt idx="4">
                  <c:v>Laptop</c:v>
                </c:pt>
                <c:pt idx="5">
                  <c:v>LCD Tv</c:v>
                </c:pt>
                <c:pt idx="6">
                  <c:v>Mobile</c:v>
                </c:pt>
                <c:pt idx="7">
                  <c:v>Mouse</c:v>
                </c:pt>
                <c:pt idx="8">
                  <c:v>Printter</c:v>
                </c:pt>
                <c:pt idx="9">
                  <c:v>Scanner</c:v>
                </c:pt>
              </c:strCache>
            </c:strRef>
          </c:cat>
          <c:val>
            <c:numRef>
              <c:f>Sheet4!$D$6:$D$16</c:f>
              <c:numCache>
                <c:formatCode>General</c:formatCode>
                <c:ptCount val="10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60-4784-A9B3-F5B8482E9592}"/>
            </c:ext>
          </c:extLst>
        </c:ser>
        <c:ser>
          <c:idx val="3"/>
          <c:order val="3"/>
          <c:tx>
            <c:strRef>
              <c:f>Sheet4!$E$4:$E$5</c:f>
              <c:strCache>
                <c:ptCount val="1"/>
                <c:pt idx="0">
                  <c:v>Sum of Totale Sales</c:v>
                </c:pt>
              </c:strCache>
            </c:strRef>
          </c:tx>
          <c:invertIfNegative val="0"/>
          <c:cat>
            <c:strRef>
              <c:f>Sheet4!$A$6:$A$16</c:f>
              <c:strCache>
                <c:ptCount val="10"/>
                <c:pt idx="0">
                  <c:v>Collur</c:v>
                </c:pt>
                <c:pt idx="1">
                  <c:v>Freez</c:v>
                </c:pt>
                <c:pt idx="2">
                  <c:v>Head phone</c:v>
                </c:pt>
                <c:pt idx="3">
                  <c:v>Keyboard</c:v>
                </c:pt>
                <c:pt idx="4">
                  <c:v>Laptop</c:v>
                </c:pt>
                <c:pt idx="5">
                  <c:v>LCD Tv</c:v>
                </c:pt>
                <c:pt idx="6">
                  <c:v>Mobile</c:v>
                </c:pt>
                <c:pt idx="7">
                  <c:v>Mouse</c:v>
                </c:pt>
                <c:pt idx="8">
                  <c:v>Printter</c:v>
                </c:pt>
                <c:pt idx="9">
                  <c:v>Scanner</c:v>
                </c:pt>
              </c:strCache>
            </c:strRef>
          </c:cat>
          <c:val>
            <c:numRef>
              <c:f>Sheet4!$E$6:$E$16</c:f>
              <c:numCache>
                <c:formatCode>General</c:formatCode>
                <c:ptCount val="10"/>
                <c:pt idx="0">
                  <c:v>1100</c:v>
                </c:pt>
                <c:pt idx="1">
                  <c:v>1500</c:v>
                </c:pt>
                <c:pt idx="2">
                  <c:v>1900</c:v>
                </c:pt>
                <c:pt idx="3">
                  <c:v>2300</c:v>
                </c:pt>
                <c:pt idx="4">
                  <c:v>2700</c:v>
                </c:pt>
                <c:pt idx="5">
                  <c:v>3100</c:v>
                </c:pt>
                <c:pt idx="6">
                  <c:v>3500</c:v>
                </c:pt>
                <c:pt idx="7">
                  <c:v>3900</c:v>
                </c:pt>
                <c:pt idx="8">
                  <c:v>4300</c:v>
                </c:pt>
                <c:pt idx="9">
                  <c:v>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60-4784-A9B3-F5B8482E9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22976"/>
        <c:axId val="50224512"/>
      </c:barChart>
      <c:catAx>
        <c:axId val="502229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224512"/>
        <c:crosses val="autoZero"/>
        <c:auto val="1"/>
        <c:lblAlgn val="ctr"/>
        <c:lblOffset val="100"/>
        <c:noMultiLvlLbl val="0"/>
      </c:catAx>
      <c:valAx>
        <c:axId val="5022451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222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257175</xdr:colOff>
      <xdr:row>0</xdr:row>
      <xdr:rowOff>0</xdr:rowOff>
    </xdr:from>
    <xdr:to>
      <xdr:col>22</xdr:col>
      <xdr:colOff>552450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200025</xdr:colOff>
      <xdr:row>1</xdr:row>
      <xdr:rowOff>47625</xdr:rowOff>
    </xdr:from>
    <xdr:to>
      <xdr:col>14</xdr:col>
      <xdr:colOff>304800</xdr:colOff>
      <xdr:row>15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571499</xdr:colOff>
      <xdr:row>16</xdr:row>
      <xdr:rowOff>28575</xdr:rowOff>
    </xdr:from>
    <xdr:to>
      <xdr:col>11</xdr:col>
      <xdr:colOff>819149</xdr:colOff>
      <xdr:row>29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85725</xdr:colOff>
      <xdr:row>15</xdr:row>
      <xdr:rowOff>38100</xdr:rowOff>
    </xdr:from>
    <xdr:to>
      <xdr:col>22</xdr:col>
      <xdr:colOff>495300</xdr:colOff>
      <xdr:row>29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NESHWAR" refreshedDate="46283.074272106482" createdVersion="3" refreshedVersion="3" minRefreshableVersion="3" recordCount="10" xr:uid="{00000000-000A-0000-FFFF-FFFF00000000}">
  <cacheSource type="worksheet">
    <worksheetSource ref="A3:F13" sheet="Sheet3"/>
  </cacheSource>
  <cacheFields count="6">
    <cacheField name="Product ID" numFmtId="0">
      <sharedItems containsSemiMixedTypes="0" containsString="0" containsNumber="1" containsInteger="1" minValue="101" maxValue="110"/>
    </cacheField>
    <cacheField name="Product Name" numFmtId="0">
      <sharedItems count="10">
        <s v="Collur"/>
        <s v="Freez"/>
        <s v="Head phone"/>
        <s v="Keyboard"/>
        <s v="Laptop"/>
        <s v="LCD Tv"/>
        <s v="Mobile"/>
        <s v="Mouse"/>
        <s v="Printter"/>
        <s v="Scanner"/>
      </sharedItems>
    </cacheField>
    <cacheField name="January" numFmtId="0">
      <sharedItems containsSemiMixedTypes="0" containsString="0" containsNumber="1" containsInteger="1" minValue="300" maxValue="1200" count="10">
        <n v="300"/>
        <n v="400"/>
        <n v="500"/>
        <n v="600"/>
        <n v="700"/>
        <n v="800"/>
        <n v="900"/>
        <n v="1000"/>
        <n v="1100"/>
        <n v="1200"/>
      </sharedItems>
    </cacheField>
    <cacheField name="Febuary" numFmtId="0">
      <sharedItems containsSemiMixedTypes="0" containsString="0" containsNumber="1" containsInteger="1" minValue="500" maxValue="2300" count="10">
        <n v="500"/>
        <n v="700"/>
        <n v="900"/>
        <n v="1100"/>
        <n v="1300"/>
        <n v="1500"/>
        <n v="1700"/>
        <n v="1900"/>
        <n v="2100"/>
        <n v="2300"/>
      </sharedItems>
    </cacheField>
    <cacheField name="March" numFmtId="0">
      <sharedItems containsSemiMixedTypes="0" containsString="0" containsNumber="1" containsInteger="1" minValue="300" maxValue="1200" count="10">
        <n v="300"/>
        <n v="400"/>
        <n v="500"/>
        <n v="600"/>
        <n v="700"/>
        <n v="800"/>
        <n v="900"/>
        <n v="1000"/>
        <n v="1100"/>
        <n v="1200"/>
      </sharedItems>
    </cacheField>
    <cacheField name="Totale Sales" numFmtId="0">
      <sharedItems containsSemiMixedTypes="0" containsString="0" containsNumber="1" containsInteger="1" minValue="1100" maxValue="4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04"/>
    <x v="0"/>
    <x v="0"/>
    <x v="0"/>
    <x v="0"/>
    <n v="1100"/>
  </r>
  <r>
    <n v="106"/>
    <x v="1"/>
    <x v="1"/>
    <x v="1"/>
    <x v="1"/>
    <n v="1500"/>
  </r>
  <r>
    <n v="110"/>
    <x v="2"/>
    <x v="2"/>
    <x v="2"/>
    <x v="2"/>
    <n v="1900"/>
  </r>
  <r>
    <n v="108"/>
    <x v="3"/>
    <x v="3"/>
    <x v="3"/>
    <x v="3"/>
    <n v="2300"/>
  </r>
  <r>
    <n v="101"/>
    <x v="4"/>
    <x v="4"/>
    <x v="4"/>
    <x v="4"/>
    <n v="2700"/>
  </r>
  <r>
    <n v="102"/>
    <x v="5"/>
    <x v="5"/>
    <x v="5"/>
    <x v="5"/>
    <n v="3100"/>
  </r>
  <r>
    <n v="103"/>
    <x v="6"/>
    <x v="6"/>
    <x v="6"/>
    <x v="6"/>
    <n v="3500"/>
  </r>
  <r>
    <n v="109"/>
    <x v="7"/>
    <x v="7"/>
    <x v="7"/>
    <x v="7"/>
    <n v="3900"/>
  </r>
  <r>
    <n v="105"/>
    <x v="8"/>
    <x v="8"/>
    <x v="8"/>
    <x v="8"/>
    <n v="4300"/>
  </r>
  <r>
    <n v="107"/>
    <x v="9"/>
    <x v="9"/>
    <x v="9"/>
    <x v="9"/>
    <n v="4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4:E16" firstHeaderRow="1" firstDataRow="2" firstDataCol="1"/>
  <pivotFields count="6">
    <pivotField showAll="0" defaultSubtotal="0"/>
    <pivotField axis="axisRow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howAll="0" defaultSubtota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January" fld="2" baseField="0" baseItem="0"/>
    <dataField name="Sum of Febuary" fld="3" baseField="0" baseItem="0"/>
    <dataField name="Sum of March" fld="4" baseField="0" baseItem="0"/>
    <dataField name="Sum of Totale Sales" fld="5" baseField="0" baseItem="0"/>
  </dataFields>
  <formats count="7"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grandRow="1" outline="0" fieldPosition="0"/>
    </format>
    <format dxfId="3">
      <pivotArea type="origin" dataOnly="0" labelOnly="1" outline="0" fieldPosition="0"/>
    </format>
    <format dxfId="2">
      <pivotArea field="1" type="button" dataOnly="0" labelOnly="1" outline="0" axis="axisRow" fieldPosition="0"/>
    </format>
    <format dxfId="1">
      <pivotArea field="-2" type="button" dataOnly="0" labelOnly="1" outline="0" axis="axisCol" fieldPosition="0"/>
    </format>
    <format dxfId="0">
      <pivotArea type="topRight" dataOnly="0" labelOnly="1" outline="0" fieldPosition="0"/>
    </format>
  </formats>
  <chartFormats count="16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2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" totalsRowShown="0">
  <autoFilter ref="A1:F2" xr:uid="{00000000-0009-0000-0100-000001000000}"/>
  <tableColumns count="6">
    <tableColumn id="1" xr3:uid="{00000000-0010-0000-0000-000001000000}" name="Product ID"/>
    <tableColumn id="2" xr3:uid="{00000000-0010-0000-0000-000002000000}" name="Product Name"/>
    <tableColumn id="3" xr3:uid="{00000000-0010-0000-0000-000003000000}" name="January"/>
    <tableColumn id="4" xr3:uid="{00000000-0010-0000-0000-000004000000}" name="Febuary"/>
    <tableColumn id="5" xr3:uid="{00000000-0010-0000-0000-000005000000}" name="March"/>
    <tableColumn id="6" xr3:uid="{00000000-0010-0000-0000-000006000000}" name="Totale 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K4" sqref="A1:XFD1048576"/>
    </sheetView>
  </sheetViews>
  <sheetFormatPr defaultRowHeight="15" x14ac:dyDescent="0.25"/>
  <cols>
    <col min="1" max="1" width="10" bestFit="1" customWidth="1"/>
    <col min="2" max="2" width="13.7109375" bestFit="1" customWidth="1"/>
    <col min="3" max="3" width="9.7109375" bestFit="1" customWidth="1"/>
    <col min="4" max="4" width="11.5703125" bestFit="1" customWidth="1"/>
    <col min="5" max="5" width="12.85546875" bestFit="1" customWidth="1"/>
    <col min="7" max="7" width="13.28515625" customWidth="1"/>
    <col min="8" max="8" width="15.5703125" customWidth="1"/>
    <col min="9" max="9" width="12" customWidth="1"/>
    <col min="10" max="10" width="15.28515625" customWidth="1"/>
    <col min="11" max="11" width="14.28515625" customWidth="1"/>
  </cols>
  <sheetData>
    <row r="1" spans="1:11" ht="21" x14ac:dyDescent="0.35">
      <c r="A1" s="20" t="s">
        <v>49</v>
      </c>
      <c r="B1" s="21"/>
      <c r="C1" s="21"/>
      <c r="D1" s="21"/>
      <c r="E1" s="21"/>
    </row>
    <row r="2" spans="1:11" ht="15.75" x14ac:dyDescent="0.25">
      <c r="A2" s="1" t="s">
        <v>3</v>
      </c>
      <c r="B2" s="1" t="s">
        <v>2</v>
      </c>
      <c r="C2" s="1" t="s">
        <v>0</v>
      </c>
      <c r="D2" s="1" t="s">
        <v>1</v>
      </c>
      <c r="E2" s="1" t="s">
        <v>4</v>
      </c>
      <c r="G2" s="11" t="s">
        <v>3</v>
      </c>
      <c r="H2" s="11" t="s">
        <v>1</v>
      </c>
    </row>
    <row r="3" spans="1:11" x14ac:dyDescent="0.25">
      <c r="A3" s="2">
        <v>101</v>
      </c>
      <c r="B3" s="3" t="s">
        <v>5</v>
      </c>
      <c r="C3" s="3" t="s">
        <v>15</v>
      </c>
      <c r="D3" s="3" t="s">
        <v>25</v>
      </c>
      <c r="E3" s="2">
        <v>23</v>
      </c>
      <c r="G3" s="12">
        <v>103</v>
      </c>
      <c r="H3" s="12" t="str">
        <f>_xlfn.XLOOKUP(A3,A3:A12,D3:D12,"No Record")</f>
        <v>DINESHAR</v>
      </c>
    </row>
    <row r="4" spans="1:11" x14ac:dyDescent="0.25">
      <c r="A4" s="2">
        <v>102</v>
      </c>
      <c r="B4" s="3" t="s">
        <v>6</v>
      </c>
      <c r="C4" s="3" t="s">
        <v>16</v>
      </c>
      <c r="D4" s="3" t="s">
        <v>26</v>
      </c>
      <c r="E4" s="2">
        <v>34</v>
      </c>
    </row>
    <row r="5" spans="1:11" x14ac:dyDescent="0.25">
      <c r="A5" s="2">
        <v>103</v>
      </c>
      <c r="B5" s="3" t="s">
        <v>7</v>
      </c>
      <c r="C5" s="3" t="s">
        <v>17</v>
      </c>
      <c r="D5" s="3" t="s">
        <v>27</v>
      </c>
      <c r="E5" s="2">
        <v>56</v>
      </c>
      <c r="G5" s="6" t="s">
        <v>0</v>
      </c>
      <c r="H5" s="6" t="s">
        <v>34</v>
      </c>
    </row>
    <row r="6" spans="1:11" x14ac:dyDescent="0.25">
      <c r="A6" s="2">
        <v>104</v>
      </c>
      <c r="B6" s="3" t="s">
        <v>8</v>
      </c>
      <c r="C6" s="3" t="s">
        <v>18</v>
      </c>
      <c r="D6" s="3" t="s">
        <v>28</v>
      </c>
      <c r="E6" s="2">
        <v>45</v>
      </c>
      <c r="G6" s="3" t="s">
        <v>19</v>
      </c>
      <c r="H6" s="5">
        <f>_xlfn.XLOOKUP(G6,C3:C12,E3:E12,"No Record")</f>
        <v>59</v>
      </c>
    </row>
    <row r="7" spans="1:11" x14ac:dyDescent="0.25">
      <c r="A7" s="2">
        <v>105</v>
      </c>
      <c r="B7" s="3" t="s">
        <v>9</v>
      </c>
      <c r="C7" s="3" t="s">
        <v>19</v>
      </c>
      <c r="D7" s="3" t="s">
        <v>29</v>
      </c>
      <c r="E7" s="2">
        <v>59</v>
      </c>
    </row>
    <row r="8" spans="1:11" x14ac:dyDescent="0.25">
      <c r="A8" s="2">
        <v>106</v>
      </c>
      <c r="B8" s="3" t="s">
        <v>10</v>
      </c>
      <c r="C8" s="3" t="s">
        <v>20</v>
      </c>
      <c r="D8" s="3" t="s">
        <v>30</v>
      </c>
      <c r="E8" s="2">
        <v>40</v>
      </c>
    </row>
    <row r="9" spans="1:11" x14ac:dyDescent="0.25">
      <c r="A9" s="2">
        <v>107</v>
      </c>
      <c r="B9" s="3" t="s">
        <v>11</v>
      </c>
      <c r="C9" s="3" t="s">
        <v>21</v>
      </c>
      <c r="D9" s="3" t="s">
        <v>31</v>
      </c>
      <c r="E9" s="2">
        <v>12</v>
      </c>
    </row>
    <row r="10" spans="1:11" x14ac:dyDescent="0.25">
      <c r="A10" s="2">
        <v>108</v>
      </c>
      <c r="B10" s="3" t="s">
        <v>12</v>
      </c>
      <c r="C10" s="3" t="s">
        <v>22</v>
      </c>
      <c r="D10" s="3" t="s">
        <v>26</v>
      </c>
      <c r="E10" s="2">
        <v>27</v>
      </c>
      <c r="G10" s="8"/>
      <c r="H10" s="8"/>
    </row>
    <row r="11" spans="1:11" x14ac:dyDescent="0.25">
      <c r="A11" s="2">
        <v>109</v>
      </c>
      <c r="B11" s="3" t="s">
        <v>13</v>
      </c>
      <c r="C11" s="3" t="s">
        <v>23</v>
      </c>
      <c r="D11" s="3" t="s">
        <v>32</v>
      </c>
      <c r="E11" s="2">
        <v>68</v>
      </c>
      <c r="G11" s="7" t="s">
        <v>3</v>
      </c>
      <c r="H11" s="7" t="s">
        <v>2</v>
      </c>
      <c r="I11" s="7" t="s">
        <v>0</v>
      </c>
      <c r="J11" s="7" t="s">
        <v>1</v>
      </c>
      <c r="K11" s="7" t="s">
        <v>34</v>
      </c>
    </row>
    <row r="12" spans="1:11" x14ac:dyDescent="0.25">
      <c r="A12" s="2">
        <v>110</v>
      </c>
      <c r="B12" s="3" t="s">
        <v>14</v>
      </c>
      <c r="C12" s="3" t="s">
        <v>24</v>
      </c>
      <c r="D12" s="3" t="s">
        <v>33</v>
      </c>
      <c r="E12" s="2">
        <v>85</v>
      </c>
      <c r="G12" s="10">
        <v>109</v>
      </c>
      <c r="H12" s="5" t="str">
        <f>_xlfn.XLOOKUP(G12,A3:A12,B3:B12,"No Record")</f>
        <v>Mouse</v>
      </c>
      <c r="I12" s="5" t="str">
        <f t="shared" ref="I12:K12" si="0">_xlfn.XLOOKUP(H12,B3:B12,C3:C12,"No Record")</f>
        <v>AP0109</v>
      </c>
      <c r="J12" s="5" t="str">
        <f t="shared" si="0"/>
        <v>PINKI</v>
      </c>
      <c r="K12" s="5">
        <f t="shared" si="0"/>
        <v>68</v>
      </c>
    </row>
  </sheetData>
  <mergeCells count="1">
    <mergeCell ref="A1:E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selection activeCell="O6" sqref="O6"/>
    </sheetView>
  </sheetViews>
  <sheetFormatPr defaultRowHeight="15" x14ac:dyDescent="0.25"/>
  <cols>
    <col min="1" max="1" width="10" bestFit="1" customWidth="1"/>
    <col min="2" max="2" width="13.7109375" bestFit="1" customWidth="1"/>
    <col min="3" max="3" width="9.7109375" bestFit="1" customWidth="1"/>
    <col min="4" max="4" width="11.5703125" bestFit="1" customWidth="1"/>
    <col min="5" max="5" width="12.85546875" bestFit="1" customWidth="1"/>
    <col min="7" max="7" width="13.28515625" customWidth="1"/>
    <col min="8" max="8" width="15.5703125" customWidth="1"/>
    <col min="9" max="9" width="12" customWidth="1"/>
    <col min="10" max="10" width="15.28515625" customWidth="1"/>
    <col min="11" max="11" width="14.28515625" customWidth="1"/>
  </cols>
  <sheetData>
    <row r="1" spans="1:11" ht="21" x14ac:dyDescent="0.35">
      <c r="A1" s="20" t="s">
        <v>35</v>
      </c>
      <c r="B1" s="21"/>
      <c r="C1" s="21"/>
      <c r="D1" s="21"/>
      <c r="E1" s="21"/>
    </row>
    <row r="2" spans="1:11" ht="15.75" x14ac:dyDescent="0.25">
      <c r="A2" s="1" t="s">
        <v>3</v>
      </c>
      <c r="B2" s="1" t="s">
        <v>2</v>
      </c>
      <c r="C2" s="1" t="s">
        <v>0</v>
      </c>
      <c r="D2" s="1" t="s">
        <v>1</v>
      </c>
      <c r="E2" s="1" t="s">
        <v>4</v>
      </c>
      <c r="G2" s="4" t="s">
        <v>3</v>
      </c>
      <c r="H2" s="4" t="s">
        <v>34</v>
      </c>
    </row>
    <row r="3" spans="1:11" x14ac:dyDescent="0.25">
      <c r="A3" s="2">
        <v>104</v>
      </c>
      <c r="B3" s="3" t="s">
        <v>8</v>
      </c>
      <c r="C3" s="3" t="s">
        <v>18</v>
      </c>
      <c r="D3" s="3" t="s">
        <v>28</v>
      </c>
      <c r="E3" s="2">
        <v>45</v>
      </c>
      <c r="G3" s="9">
        <v>102</v>
      </c>
      <c r="H3" s="9">
        <f>VLOOKUP(G3,A3:E12,5,0)</f>
        <v>34</v>
      </c>
    </row>
    <row r="4" spans="1:11" x14ac:dyDescent="0.25">
      <c r="A4" s="2">
        <v>106</v>
      </c>
      <c r="B4" s="3" t="s">
        <v>10</v>
      </c>
      <c r="C4" s="3" t="s">
        <v>20</v>
      </c>
      <c r="D4" s="3" t="s">
        <v>30</v>
      </c>
      <c r="E4" s="2">
        <v>40</v>
      </c>
      <c r="H4" t="s">
        <v>36</v>
      </c>
    </row>
    <row r="5" spans="1:11" x14ac:dyDescent="0.25">
      <c r="A5" s="2">
        <v>110</v>
      </c>
      <c r="B5" s="3" t="s">
        <v>14</v>
      </c>
      <c r="C5" s="3" t="s">
        <v>24</v>
      </c>
      <c r="D5" s="3" t="s">
        <v>33</v>
      </c>
      <c r="E5" s="2">
        <v>85</v>
      </c>
      <c r="G5" s="6" t="s">
        <v>2</v>
      </c>
      <c r="H5" s="6" t="s">
        <v>1</v>
      </c>
    </row>
    <row r="6" spans="1:11" x14ac:dyDescent="0.25">
      <c r="A6" s="2">
        <v>108</v>
      </c>
      <c r="B6" s="3" t="s">
        <v>12</v>
      </c>
      <c r="C6" s="3" t="s">
        <v>22</v>
      </c>
      <c r="D6" s="3" t="s">
        <v>26</v>
      </c>
      <c r="E6" s="2">
        <v>27</v>
      </c>
      <c r="G6" s="13" t="s">
        <v>37</v>
      </c>
      <c r="H6" s="5" t="str">
        <f>VLOOKUP(G6,B3:E12,3,0)</f>
        <v>SAMEE</v>
      </c>
    </row>
    <row r="7" spans="1:11" x14ac:dyDescent="0.25">
      <c r="A7" s="2">
        <v>101</v>
      </c>
      <c r="B7" s="3" t="s">
        <v>5</v>
      </c>
      <c r="C7" s="3" t="s">
        <v>15</v>
      </c>
      <c r="D7" s="3" t="s">
        <v>25</v>
      </c>
      <c r="E7" s="2">
        <v>23</v>
      </c>
    </row>
    <row r="8" spans="1:11" x14ac:dyDescent="0.25">
      <c r="A8" s="2">
        <v>102</v>
      </c>
      <c r="B8" s="3" t="s">
        <v>6</v>
      </c>
      <c r="C8" s="3" t="s">
        <v>16</v>
      </c>
      <c r="D8" s="3" t="s">
        <v>26</v>
      </c>
      <c r="E8" s="2">
        <v>34</v>
      </c>
    </row>
    <row r="9" spans="1:11" x14ac:dyDescent="0.25">
      <c r="A9" s="2">
        <v>103</v>
      </c>
      <c r="B9" s="3" t="s">
        <v>7</v>
      </c>
      <c r="C9" s="3" t="s">
        <v>17</v>
      </c>
      <c r="D9" s="3" t="s">
        <v>27</v>
      </c>
      <c r="E9" s="2">
        <v>56</v>
      </c>
    </row>
    <row r="10" spans="1:11" x14ac:dyDescent="0.25">
      <c r="A10" s="2">
        <v>109</v>
      </c>
      <c r="B10" s="3" t="s">
        <v>13</v>
      </c>
      <c r="C10" s="3" t="s">
        <v>23</v>
      </c>
      <c r="D10" s="3" t="s">
        <v>32</v>
      </c>
      <c r="E10" s="2">
        <v>68</v>
      </c>
      <c r="G10" s="8"/>
      <c r="H10" s="8"/>
    </row>
    <row r="11" spans="1:11" x14ac:dyDescent="0.25">
      <c r="A11" s="2">
        <v>105</v>
      </c>
      <c r="B11" s="3" t="s">
        <v>9</v>
      </c>
      <c r="C11" s="3" t="s">
        <v>19</v>
      </c>
      <c r="D11" s="3" t="s">
        <v>29</v>
      </c>
      <c r="E11" s="2">
        <v>59</v>
      </c>
      <c r="G11" s="7" t="s">
        <v>3</v>
      </c>
      <c r="H11" s="7" t="s">
        <v>2</v>
      </c>
      <c r="I11" s="7" t="s">
        <v>0</v>
      </c>
      <c r="J11" s="7" t="s">
        <v>1</v>
      </c>
      <c r="K11" s="7" t="s">
        <v>34</v>
      </c>
    </row>
    <row r="12" spans="1:11" x14ac:dyDescent="0.25">
      <c r="A12" s="2">
        <v>107</v>
      </c>
      <c r="B12" s="3" t="s">
        <v>11</v>
      </c>
      <c r="C12" s="3" t="s">
        <v>21</v>
      </c>
      <c r="D12" s="3" t="s">
        <v>31</v>
      </c>
      <c r="E12" s="2">
        <v>12</v>
      </c>
      <c r="G12" s="5">
        <v>106</v>
      </c>
      <c r="H12" s="5" t="str">
        <f>VLOOKUP(G12,A3:E12,2,0)</f>
        <v>Freez</v>
      </c>
      <c r="I12" s="5" t="str">
        <f t="shared" ref="I12" si="0">VLOOKUP(H12,B3:F12,2,0)</f>
        <v>AP0106</v>
      </c>
      <c r="J12" s="5" t="str">
        <f>VLOOKUP(I12,C3:G12,2,0)</f>
        <v>MOHAN</v>
      </c>
      <c r="K12" s="5">
        <f>VLOOKUP(J12,D3:H12,2,0)</f>
        <v>40</v>
      </c>
    </row>
  </sheetData>
  <sortState xmlns:xlrd2="http://schemas.microsoft.com/office/spreadsheetml/2017/richdata2" ref="A3:E12">
    <sortCondition ref="B3:B12"/>
    <sortCondition ref="E3:E12"/>
  </sortState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sqref="A1:F2"/>
    </sheetView>
  </sheetViews>
  <sheetFormatPr defaultRowHeight="15" x14ac:dyDescent="0.25"/>
  <cols>
    <col min="1" max="1" width="12.28515625" customWidth="1"/>
    <col min="2" max="2" width="15.7109375" customWidth="1"/>
    <col min="3" max="3" width="9.85546875" customWidth="1"/>
    <col min="4" max="4" width="10.28515625" customWidth="1"/>
    <col min="6" max="6" width="13.7109375" customWidth="1"/>
  </cols>
  <sheetData>
    <row r="1" spans="1:6" x14ac:dyDescent="0.25">
      <c r="A1" t="s">
        <v>3</v>
      </c>
      <c r="B1" t="s">
        <v>2</v>
      </c>
      <c r="C1" t="s">
        <v>38</v>
      </c>
      <c r="D1" t="s">
        <v>39</v>
      </c>
      <c r="E1" t="s">
        <v>40</v>
      </c>
      <c r="F1" t="s">
        <v>41</v>
      </c>
    </row>
    <row r="2" spans="1:6" x14ac:dyDescent="0.25">
      <c r="A2">
        <v>107</v>
      </c>
      <c r="B2" t="s">
        <v>11</v>
      </c>
      <c r="C2">
        <v>1200</v>
      </c>
      <c r="D2">
        <v>2300</v>
      </c>
      <c r="E2">
        <v>1200</v>
      </c>
      <c r="F2">
        <v>4700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E16"/>
  <sheetViews>
    <sheetView workbookViewId="0">
      <selection activeCell="B25" sqref="B25"/>
    </sheetView>
  </sheetViews>
  <sheetFormatPr defaultRowHeight="15" x14ac:dyDescent="0.25"/>
  <cols>
    <col min="1" max="1" width="15.42578125" customWidth="1"/>
    <col min="2" max="2" width="14.42578125" customWidth="1"/>
    <col min="3" max="3" width="14.85546875" customWidth="1"/>
    <col min="4" max="4" width="13.28515625" customWidth="1"/>
    <col min="5" max="5" width="18.42578125" customWidth="1"/>
    <col min="6" max="8" width="4" customWidth="1"/>
    <col min="9" max="11" width="5" customWidth="1"/>
    <col min="12" max="12" width="14.85546875" bestFit="1" customWidth="1"/>
    <col min="13" max="14" width="4" customWidth="1"/>
    <col min="15" max="21" width="5" customWidth="1"/>
    <col min="22" max="22" width="19.42578125" bestFit="1" customWidth="1"/>
    <col min="23" max="23" width="19.85546875" bestFit="1" customWidth="1"/>
  </cols>
  <sheetData>
    <row r="4" spans="1:5" x14ac:dyDescent="0.25">
      <c r="A4" s="18"/>
      <c r="B4" s="18" t="s">
        <v>45</v>
      </c>
      <c r="C4" s="18"/>
      <c r="D4" s="18"/>
      <c r="E4" s="18"/>
    </row>
    <row r="5" spans="1:5" x14ac:dyDescent="0.25">
      <c r="A5" s="19" t="s">
        <v>42</v>
      </c>
      <c r="B5" t="s">
        <v>44</v>
      </c>
      <c r="C5" t="s">
        <v>46</v>
      </c>
      <c r="D5" t="s">
        <v>47</v>
      </c>
      <c r="E5" t="s">
        <v>48</v>
      </c>
    </row>
    <row r="6" spans="1:5" x14ac:dyDescent="0.25">
      <c r="A6" s="16" t="s">
        <v>8</v>
      </c>
      <c r="B6" s="17">
        <v>300</v>
      </c>
      <c r="C6" s="17">
        <v>500</v>
      </c>
      <c r="D6" s="17">
        <v>300</v>
      </c>
      <c r="E6" s="17">
        <v>1100</v>
      </c>
    </row>
    <row r="7" spans="1:5" x14ac:dyDescent="0.25">
      <c r="A7" s="16" t="s">
        <v>10</v>
      </c>
      <c r="B7" s="17">
        <v>400</v>
      </c>
      <c r="C7" s="17">
        <v>700</v>
      </c>
      <c r="D7" s="17">
        <v>400</v>
      </c>
      <c r="E7" s="17">
        <v>1500</v>
      </c>
    </row>
    <row r="8" spans="1:5" x14ac:dyDescent="0.25">
      <c r="A8" s="16" t="s">
        <v>14</v>
      </c>
      <c r="B8" s="17">
        <v>500</v>
      </c>
      <c r="C8" s="17">
        <v>900</v>
      </c>
      <c r="D8" s="17">
        <v>500</v>
      </c>
      <c r="E8" s="17">
        <v>1900</v>
      </c>
    </row>
    <row r="9" spans="1:5" x14ac:dyDescent="0.25">
      <c r="A9" s="16" t="s">
        <v>12</v>
      </c>
      <c r="B9" s="17">
        <v>600</v>
      </c>
      <c r="C9" s="17">
        <v>1100</v>
      </c>
      <c r="D9" s="17">
        <v>600</v>
      </c>
      <c r="E9" s="17">
        <v>2300</v>
      </c>
    </row>
    <row r="10" spans="1:5" x14ac:dyDescent="0.25">
      <c r="A10" s="16" t="s">
        <v>5</v>
      </c>
      <c r="B10" s="17">
        <v>700</v>
      </c>
      <c r="C10" s="17">
        <v>1300</v>
      </c>
      <c r="D10" s="17">
        <v>700</v>
      </c>
      <c r="E10" s="17">
        <v>2700</v>
      </c>
    </row>
    <row r="11" spans="1:5" x14ac:dyDescent="0.25">
      <c r="A11" s="16" t="s">
        <v>6</v>
      </c>
      <c r="B11" s="17">
        <v>800</v>
      </c>
      <c r="C11" s="17">
        <v>1500</v>
      </c>
      <c r="D11" s="17">
        <v>800</v>
      </c>
      <c r="E11" s="17">
        <v>3100</v>
      </c>
    </row>
    <row r="12" spans="1:5" x14ac:dyDescent="0.25">
      <c r="A12" s="16" t="s">
        <v>7</v>
      </c>
      <c r="B12" s="17">
        <v>900</v>
      </c>
      <c r="C12" s="17">
        <v>1700</v>
      </c>
      <c r="D12" s="17">
        <v>900</v>
      </c>
      <c r="E12" s="17">
        <v>3500</v>
      </c>
    </row>
    <row r="13" spans="1:5" x14ac:dyDescent="0.25">
      <c r="A13" s="16" t="s">
        <v>13</v>
      </c>
      <c r="B13" s="17">
        <v>1000</v>
      </c>
      <c r="C13" s="17">
        <v>1900</v>
      </c>
      <c r="D13" s="17">
        <v>1000</v>
      </c>
      <c r="E13" s="17">
        <v>3900</v>
      </c>
    </row>
    <row r="14" spans="1:5" x14ac:dyDescent="0.25">
      <c r="A14" s="16" t="s">
        <v>9</v>
      </c>
      <c r="B14" s="17">
        <v>1100</v>
      </c>
      <c r="C14" s="17">
        <v>2100</v>
      </c>
      <c r="D14" s="17">
        <v>1100</v>
      </c>
      <c r="E14" s="17">
        <v>4300</v>
      </c>
    </row>
    <row r="15" spans="1:5" x14ac:dyDescent="0.25">
      <c r="A15" s="16" t="s">
        <v>11</v>
      </c>
      <c r="B15" s="17">
        <v>1200</v>
      </c>
      <c r="C15" s="17">
        <v>2300</v>
      </c>
      <c r="D15" s="17">
        <v>1200</v>
      </c>
      <c r="E15" s="17">
        <v>4700</v>
      </c>
    </row>
    <row r="16" spans="1:5" x14ac:dyDescent="0.25">
      <c r="A16" s="17" t="s">
        <v>43</v>
      </c>
      <c r="B16" s="17">
        <v>7500</v>
      </c>
      <c r="C16" s="17">
        <v>14000</v>
      </c>
      <c r="D16" s="17">
        <v>7500</v>
      </c>
      <c r="E16" s="17">
        <v>29000</v>
      </c>
    </row>
  </sheetData>
  <pageMargins left="0.7" right="0.7" top="0.75" bottom="0.75" header="0.3" footer="0.3"/>
  <pageSetup orientation="portrait" horizontalDpi="300" verticalDpi="3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13"/>
  <sheetViews>
    <sheetView workbookViewId="0">
      <selection activeCell="J8" sqref="J8"/>
    </sheetView>
  </sheetViews>
  <sheetFormatPr defaultRowHeight="15" x14ac:dyDescent="0.25"/>
  <cols>
    <col min="1" max="1" width="13.140625" bestFit="1" customWidth="1"/>
    <col min="2" max="2" width="14.140625" bestFit="1" customWidth="1"/>
    <col min="3" max="3" width="11.140625" bestFit="1" customWidth="1"/>
    <col min="4" max="4" width="10.140625" customWidth="1"/>
    <col min="5" max="5" width="12.140625" bestFit="1" customWidth="1"/>
    <col min="6" max="6" width="13.5703125" bestFit="1" customWidth="1"/>
  </cols>
  <sheetData>
    <row r="3" spans="1:6" ht="18.75" x14ac:dyDescent="0.3">
      <c r="A3" s="14" t="s">
        <v>3</v>
      </c>
      <c r="B3" s="14" t="s">
        <v>2</v>
      </c>
      <c r="C3" s="14" t="s">
        <v>38</v>
      </c>
      <c r="D3" s="14" t="s">
        <v>39</v>
      </c>
      <c r="E3" s="14" t="s">
        <v>40</v>
      </c>
      <c r="F3" s="14" t="s">
        <v>41</v>
      </c>
    </row>
    <row r="4" spans="1:6" x14ac:dyDescent="0.25">
      <c r="A4" s="2">
        <v>104</v>
      </c>
      <c r="B4" s="2" t="s">
        <v>8</v>
      </c>
      <c r="C4" s="2">
        <v>300</v>
      </c>
      <c r="D4" s="2">
        <v>500</v>
      </c>
      <c r="E4" s="2">
        <v>300</v>
      </c>
      <c r="F4" s="15">
        <f>SUM(C4:E4)</f>
        <v>1100</v>
      </c>
    </row>
    <row r="5" spans="1:6" x14ac:dyDescent="0.25">
      <c r="A5" s="2">
        <v>106</v>
      </c>
      <c r="B5" s="2" t="s">
        <v>10</v>
      </c>
      <c r="C5" s="2">
        <v>400</v>
      </c>
      <c r="D5" s="2">
        <v>700</v>
      </c>
      <c r="E5" s="2">
        <v>400</v>
      </c>
      <c r="F5" s="15">
        <f t="shared" ref="F5:F13" si="0">SUM(C5:E5)</f>
        <v>1500</v>
      </c>
    </row>
    <row r="6" spans="1:6" x14ac:dyDescent="0.25">
      <c r="A6" s="2">
        <v>110</v>
      </c>
      <c r="B6" s="2" t="s">
        <v>14</v>
      </c>
      <c r="C6" s="2">
        <v>500</v>
      </c>
      <c r="D6" s="2">
        <v>900</v>
      </c>
      <c r="E6" s="2">
        <v>500</v>
      </c>
      <c r="F6" s="15">
        <f t="shared" si="0"/>
        <v>1900</v>
      </c>
    </row>
    <row r="7" spans="1:6" x14ac:dyDescent="0.25">
      <c r="A7" s="2">
        <v>108</v>
      </c>
      <c r="B7" s="2" t="s">
        <v>12</v>
      </c>
      <c r="C7" s="2">
        <v>600</v>
      </c>
      <c r="D7" s="2">
        <v>1100</v>
      </c>
      <c r="E7" s="2">
        <v>600</v>
      </c>
      <c r="F7" s="15">
        <f t="shared" si="0"/>
        <v>2300</v>
      </c>
    </row>
    <row r="8" spans="1:6" x14ac:dyDescent="0.25">
      <c r="A8" s="2">
        <v>101</v>
      </c>
      <c r="B8" s="2" t="s">
        <v>5</v>
      </c>
      <c r="C8" s="2">
        <v>700</v>
      </c>
      <c r="D8" s="2">
        <v>1300</v>
      </c>
      <c r="E8" s="2">
        <v>700</v>
      </c>
      <c r="F8" s="15">
        <f t="shared" si="0"/>
        <v>2700</v>
      </c>
    </row>
    <row r="9" spans="1:6" x14ac:dyDescent="0.25">
      <c r="A9" s="2">
        <v>102</v>
      </c>
      <c r="B9" s="2" t="s">
        <v>6</v>
      </c>
      <c r="C9" s="2">
        <v>800</v>
      </c>
      <c r="D9" s="2">
        <v>1500</v>
      </c>
      <c r="E9" s="2">
        <v>800</v>
      </c>
      <c r="F9" s="15">
        <f t="shared" si="0"/>
        <v>3100</v>
      </c>
    </row>
    <row r="10" spans="1:6" x14ac:dyDescent="0.25">
      <c r="A10" s="2">
        <v>103</v>
      </c>
      <c r="B10" s="2" t="s">
        <v>7</v>
      </c>
      <c r="C10" s="2">
        <v>900</v>
      </c>
      <c r="D10" s="2">
        <v>1700</v>
      </c>
      <c r="E10" s="2">
        <v>900</v>
      </c>
      <c r="F10" s="15">
        <f t="shared" si="0"/>
        <v>3500</v>
      </c>
    </row>
    <row r="11" spans="1:6" x14ac:dyDescent="0.25">
      <c r="A11" s="2">
        <v>109</v>
      </c>
      <c r="B11" s="2" t="s">
        <v>13</v>
      </c>
      <c r="C11" s="2">
        <v>1000</v>
      </c>
      <c r="D11" s="2">
        <v>1900</v>
      </c>
      <c r="E11" s="2">
        <v>1000</v>
      </c>
      <c r="F11" s="15">
        <f t="shared" si="0"/>
        <v>3900</v>
      </c>
    </row>
    <row r="12" spans="1:6" x14ac:dyDescent="0.25">
      <c r="A12" s="2">
        <v>105</v>
      </c>
      <c r="B12" s="2" t="s">
        <v>9</v>
      </c>
      <c r="C12" s="2">
        <v>1100</v>
      </c>
      <c r="D12" s="2">
        <v>2100</v>
      </c>
      <c r="E12" s="2">
        <v>1100</v>
      </c>
      <c r="F12" s="15">
        <f t="shared" si="0"/>
        <v>4300</v>
      </c>
    </row>
    <row r="13" spans="1:6" x14ac:dyDescent="0.25">
      <c r="A13" s="2">
        <v>107</v>
      </c>
      <c r="B13" s="2" t="s">
        <v>11</v>
      </c>
      <c r="C13" s="2">
        <v>1200</v>
      </c>
      <c r="D13" s="2">
        <v>2300</v>
      </c>
      <c r="E13" s="2">
        <v>1200</v>
      </c>
      <c r="F13" s="15">
        <f t="shared" si="0"/>
        <v>4700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Sheet5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</dc:creator>
  <cp:lastModifiedBy>DHAMAL OF TOTAL</cp:lastModifiedBy>
  <dcterms:created xsi:type="dcterms:W3CDTF">2026-08-24T04:39:57Z</dcterms:created>
  <dcterms:modified xsi:type="dcterms:W3CDTF">2026-10-03T11:17:26Z</dcterms:modified>
</cp:coreProperties>
</file>