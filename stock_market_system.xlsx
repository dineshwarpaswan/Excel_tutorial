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rojects\"/>
    </mc:Choice>
  </mc:AlternateContent>
  <xr:revisionPtr revIDLastSave="0" documentId="13_ncr:1_{296EBE4D-0CBD-43FD-A955-537CD0ECD331}" xr6:coauthVersionLast="47" xr6:coauthVersionMax="47" xr10:uidLastSave="{00000000-0000-0000-0000-000000000000}"/>
  <bookViews>
    <workbookView xWindow="-120" yWindow="-120" windowWidth="20730" windowHeight="11160" xr2:uid="{EECAA7D3-AD7E-401B-B5FC-51860F022D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5" i="1"/>
</calcChain>
</file>

<file path=xl/sharedStrings.xml><?xml version="1.0" encoding="utf-8"?>
<sst xmlns="http://schemas.openxmlformats.org/spreadsheetml/2006/main" count="35" uniqueCount="15">
  <si>
    <t>STOCK IN</t>
  </si>
  <si>
    <t>STOCK OUT</t>
  </si>
  <si>
    <t>STOCK Available</t>
  </si>
  <si>
    <t>STOCK MANAGEMENT SYSTEM(2026)</t>
  </si>
  <si>
    <t>Date</t>
  </si>
  <si>
    <t>Qty</t>
  </si>
  <si>
    <t>Price</t>
  </si>
  <si>
    <t>Amount</t>
  </si>
  <si>
    <t>Items</t>
  </si>
  <si>
    <t>Dell Laptop</t>
  </si>
  <si>
    <t>Vivo Moblie</t>
  </si>
  <si>
    <t>Mouse</t>
  </si>
  <si>
    <t>Printer</t>
  </si>
  <si>
    <t>Keyboard</t>
  </si>
  <si>
    <t>Rellemi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</si>
</sst>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0"/>
      <name val="Adobe Garamond Pro"/>
      <family val="1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5" borderId="0" xfId="0" applyFont="1" applyFill="1"/>
    <xf numFmtId="0" fontId="2" fillId="5" borderId="0" xfId="0" applyFont="1" applyFill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0" fillId="6" borderId="2" xfId="0" applyNumberForma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166" fontId="0" fillId="6" borderId="2" xfId="0" applyNumberFormat="1" applyFill="1" applyBorder="1" applyAlignment="1">
      <alignment horizontal="center"/>
    </xf>
    <xf numFmtId="14" fontId="0" fillId="7" borderId="2" xfId="0" applyNumberForma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166" fontId="0" fillId="7" borderId="2" xfId="0" applyNumberForma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166" fontId="0" fillId="8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49699-82A5-45E7-9D5F-9C2C3958003B}">
  <dimension ref="A1:M20"/>
  <sheetViews>
    <sheetView tabSelected="1" workbookViewId="0">
      <selection activeCell="N7" sqref="A1:XFD1048576"/>
    </sheetView>
  </sheetViews>
  <sheetFormatPr defaultRowHeight="15" x14ac:dyDescent="0.25"/>
  <cols>
    <col min="1" max="1" width="10.42578125" bestFit="1" customWidth="1"/>
    <col min="2" max="2" width="14.7109375" bestFit="1" customWidth="1"/>
    <col min="4" max="4" width="12" customWidth="1"/>
    <col min="5" max="5" width="16.140625" customWidth="1"/>
    <col min="6" max="6" width="13.28515625" customWidth="1"/>
    <col min="7" max="7" width="14.7109375" bestFit="1" customWidth="1"/>
    <col min="9" max="9" width="12.5703125" customWidth="1"/>
    <col min="10" max="10" width="17.28515625" customWidth="1"/>
    <col min="11" max="11" width="16.28515625" customWidth="1"/>
    <col min="13" max="13" width="22.5703125" customWidth="1"/>
  </cols>
  <sheetData>
    <row r="1" spans="1:13" ht="20.25" x14ac:dyDescent="0.4">
      <c r="A1" s="1"/>
      <c r="B1" s="1"/>
      <c r="C1" s="1"/>
      <c r="D1" s="1"/>
      <c r="E1" s="2"/>
      <c r="F1" s="2" t="s">
        <v>3</v>
      </c>
      <c r="G1" s="2"/>
      <c r="H1" s="2"/>
      <c r="I1" s="2"/>
      <c r="J1" s="2"/>
      <c r="K1" s="2"/>
      <c r="L1" s="1"/>
      <c r="M1" s="1"/>
    </row>
    <row r="3" spans="1:13" ht="18.75" x14ac:dyDescent="0.3">
      <c r="A3" s="3" t="s">
        <v>0</v>
      </c>
      <c r="B3" s="3"/>
      <c r="C3" s="3"/>
      <c r="D3" s="3"/>
      <c r="E3" s="3"/>
      <c r="F3" s="4" t="s">
        <v>1</v>
      </c>
      <c r="G3" s="4"/>
      <c r="H3" s="4"/>
      <c r="I3" s="4"/>
      <c r="J3" s="4"/>
      <c r="K3" s="5" t="s">
        <v>2</v>
      </c>
      <c r="L3" s="5"/>
      <c r="M3" s="5"/>
    </row>
    <row r="4" spans="1:13" ht="15.75" x14ac:dyDescent="0.25">
      <c r="A4" s="6" t="s">
        <v>4</v>
      </c>
      <c r="B4" s="6" t="s">
        <v>8</v>
      </c>
      <c r="C4" s="6" t="s">
        <v>5</v>
      </c>
      <c r="D4" s="6" t="s">
        <v>6</v>
      </c>
      <c r="E4" s="6" t="s">
        <v>7</v>
      </c>
      <c r="F4" s="6" t="s">
        <v>4</v>
      </c>
      <c r="G4" s="6" t="s">
        <v>8</v>
      </c>
      <c r="H4" s="6" t="s">
        <v>5</v>
      </c>
      <c r="I4" s="6" t="s">
        <v>6</v>
      </c>
      <c r="J4" s="6" t="s">
        <v>7</v>
      </c>
      <c r="K4" s="6" t="s">
        <v>8</v>
      </c>
      <c r="L4" s="6" t="s">
        <v>5</v>
      </c>
      <c r="M4" s="6" t="s">
        <v>7</v>
      </c>
    </row>
    <row r="5" spans="1:13" x14ac:dyDescent="0.25">
      <c r="A5" s="7">
        <v>46310</v>
      </c>
      <c r="B5" s="8" t="s">
        <v>9</v>
      </c>
      <c r="C5" s="8">
        <v>50</v>
      </c>
      <c r="D5" s="9">
        <v>50000</v>
      </c>
      <c r="E5" s="9">
        <f>C5*D5</f>
        <v>2500000</v>
      </c>
      <c r="F5" s="10">
        <v>46311</v>
      </c>
      <c r="G5" s="11" t="s">
        <v>9</v>
      </c>
      <c r="H5" s="11">
        <v>15</v>
      </c>
      <c r="I5" s="12">
        <v>60000</v>
      </c>
      <c r="J5" s="12">
        <f>H5*I5</f>
        <v>900000</v>
      </c>
      <c r="K5" s="13" t="s">
        <v>9</v>
      </c>
      <c r="L5" s="13">
        <f>SUMIF(B5:B20,K5,C5:C20)-SUMIF(G5:G20,K5,H5:H20)</f>
        <v>35</v>
      </c>
      <c r="M5" s="14">
        <f>SUMIF($B$5:$B$20,K5,$E$5:$E$20)-SUMIF($G$5:$G$20,K5,J5:$J$20)</f>
        <v>1600000</v>
      </c>
    </row>
    <row r="6" spans="1:13" x14ac:dyDescent="0.25">
      <c r="A6" s="7">
        <v>46311</v>
      </c>
      <c r="B6" s="8" t="s">
        <v>10</v>
      </c>
      <c r="C6" s="8">
        <v>25</v>
      </c>
      <c r="D6" s="9">
        <v>10500</v>
      </c>
      <c r="E6" s="9">
        <f t="shared" ref="E6:E20" si="0">C6*D6</f>
        <v>262500</v>
      </c>
      <c r="F6" s="10">
        <v>46311</v>
      </c>
      <c r="G6" s="11" t="s">
        <v>10</v>
      </c>
      <c r="H6" s="11">
        <v>10</v>
      </c>
      <c r="I6" s="12">
        <v>11500</v>
      </c>
      <c r="J6" s="12">
        <f t="shared" ref="J6:J20" si="1">H6*I6</f>
        <v>115000</v>
      </c>
      <c r="K6" s="13" t="s">
        <v>10</v>
      </c>
      <c r="L6" s="13">
        <f t="shared" ref="L6:L20" si="2">SUMIF(B6:B21,K6,C6:C21)-SUMIF(G6:G21,K6,H6:H21)</f>
        <v>15</v>
      </c>
      <c r="M6" s="14">
        <f ca="1">SUMIF($B$5:$B$20,K6,$E$5:$E$20)-SUMIF($G$5:$G$20,K6,J6:$J$20)</f>
        <v>222500</v>
      </c>
    </row>
    <row r="7" spans="1:13" x14ac:dyDescent="0.25">
      <c r="A7" s="7">
        <v>46312</v>
      </c>
      <c r="B7" s="8" t="s">
        <v>11</v>
      </c>
      <c r="C7" s="8">
        <v>200</v>
      </c>
      <c r="D7" s="9">
        <v>350</v>
      </c>
      <c r="E7" s="9">
        <f t="shared" si="0"/>
        <v>70000</v>
      </c>
      <c r="F7" s="10">
        <v>46312</v>
      </c>
      <c r="G7" s="11" t="s">
        <v>11</v>
      </c>
      <c r="H7" s="11">
        <v>100</v>
      </c>
      <c r="I7" s="12">
        <v>400</v>
      </c>
      <c r="J7" s="12">
        <f t="shared" si="1"/>
        <v>40000</v>
      </c>
      <c r="K7" s="13" t="s">
        <v>11</v>
      </c>
      <c r="L7" s="13">
        <f t="shared" si="2"/>
        <v>100</v>
      </c>
      <c r="M7" s="14">
        <f ca="1">SUMIF($B$5:$B$20,K7,$E$5:$E$20)-SUMIF($G$5:$G$20,K7,J7:$J$20)</f>
        <v>4000</v>
      </c>
    </row>
    <row r="8" spans="1:13" x14ac:dyDescent="0.25">
      <c r="A8" s="7">
        <v>46313</v>
      </c>
      <c r="B8" s="8" t="s">
        <v>12</v>
      </c>
      <c r="C8" s="8">
        <v>100</v>
      </c>
      <c r="D8" s="9">
        <v>2500</v>
      </c>
      <c r="E8" s="9">
        <f t="shared" si="0"/>
        <v>250000</v>
      </c>
      <c r="F8" s="10">
        <v>46314</v>
      </c>
      <c r="G8" s="11" t="s">
        <v>12</v>
      </c>
      <c r="H8" s="11">
        <v>20</v>
      </c>
      <c r="I8" s="12">
        <v>2700</v>
      </c>
      <c r="J8" s="12">
        <f t="shared" si="1"/>
        <v>54000</v>
      </c>
      <c r="K8" s="13" t="s">
        <v>12</v>
      </c>
      <c r="L8" s="13">
        <f t="shared" si="2"/>
        <v>80</v>
      </c>
      <c r="M8" s="14">
        <f ca="1">SUMIF($B$5:$B$20,K8,$E$5:$E$20)-SUMIF($G$5:$G$20,K8,J8:$J$20)</f>
        <v>250000</v>
      </c>
    </row>
    <row r="9" spans="1:13" x14ac:dyDescent="0.25">
      <c r="A9" s="7">
        <v>46310</v>
      </c>
      <c r="B9" s="8" t="s">
        <v>13</v>
      </c>
      <c r="C9" s="8">
        <v>150</v>
      </c>
      <c r="D9" s="9">
        <v>500</v>
      </c>
      <c r="E9" s="9">
        <f t="shared" si="0"/>
        <v>75000</v>
      </c>
      <c r="F9" s="10">
        <v>46312</v>
      </c>
      <c r="G9" s="11" t="s">
        <v>13</v>
      </c>
      <c r="H9" s="11">
        <v>120</v>
      </c>
      <c r="I9" s="12">
        <v>550</v>
      </c>
      <c r="J9" s="12">
        <f t="shared" si="1"/>
        <v>66000</v>
      </c>
      <c r="K9" s="13" t="s">
        <v>13</v>
      </c>
      <c r="L9" s="13">
        <f t="shared" si="2"/>
        <v>30</v>
      </c>
      <c r="M9" s="14">
        <f ca="1">SUMIF($B$5:$B$20,K9,$E$5:$E$20)-SUMIF($G$5:$G$20,K9,J9:$J$20)</f>
        <v>75000</v>
      </c>
    </row>
    <row r="10" spans="1:13" x14ac:dyDescent="0.25">
      <c r="A10" s="7">
        <v>46315</v>
      </c>
      <c r="B10" s="8" t="s">
        <v>14</v>
      </c>
      <c r="C10" s="8">
        <v>40</v>
      </c>
      <c r="D10" s="9">
        <v>12500</v>
      </c>
      <c r="E10" s="9">
        <f t="shared" si="0"/>
        <v>500000</v>
      </c>
      <c r="F10" s="10">
        <v>46315</v>
      </c>
      <c r="G10" s="11" t="s">
        <v>14</v>
      </c>
      <c r="H10" s="11">
        <v>30</v>
      </c>
      <c r="I10" s="12">
        <v>13500</v>
      </c>
      <c r="J10" s="12">
        <f t="shared" si="1"/>
        <v>405000</v>
      </c>
      <c r="K10" s="13" t="s">
        <v>14</v>
      </c>
      <c r="L10" s="13">
        <f t="shared" si="2"/>
        <v>10</v>
      </c>
      <c r="M10" s="14">
        <f ca="1">SUMIF($B$5:$B$20,K10,$E$5:$E$20)-SUMIF($G$5:$G$20,K10,J10:$J$20)</f>
        <v>500000</v>
      </c>
    </row>
    <row r="11" spans="1:13" x14ac:dyDescent="0.25">
      <c r="A11" s="8"/>
      <c r="B11" s="8"/>
      <c r="C11" s="8"/>
      <c r="D11" s="9"/>
      <c r="E11" s="9">
        <f t="shared" si="0"/>
        <v>0</v>
      </c>
      <c r="F11" s="11"/>
      <c r="G11" s="11"/>
      <c r="H11" s="11"/>
      <c r="I11" s="12"/>
      <c r="J11" s="12">
        <f t="shared" si="1"/>
        <v>0</v>
      </c>
      <c r="K11" s="13"/>
      <c r="L11" s="13">
        <f t="shared" si="2"/>
        <v>0</v>
      </c>
      <c r="M11" s="14">
        <f ca="1">SUMIF($B$5:$B$20,K11,$E$5:$E$20)-SUMIF($G$5:$G$20,K11,J11:$J$20)</f>
        <v>0</v>
      </c>
    </row>
    <row r="12" spans="1:13" x14ac:dyDescent="0.25">
      <c r="A12" s="8"/>
      <c r="B12" s="8"/>
      <c r="C12" s="8"/>
      <c r="D12" s="9"/>
      <c r="E12" s="9">
        <f t="shared" si="0"/>
        <v>0</v>
      </c>
      <c r="F12" s="11"/>
      <c r="G12" s="11"/>
      <c r="H12" s="11"/>
      <c r="I12" s="12"/>
      <c r="J12" s="12">
        <f t="shared" si="1"/>
        <v>0</v>
      </c>
      <c r="K12" s="13"/>
      <c r="L12" s="13">
        <f t="shared" si="2"/>
        <v>0</v>
      </c>
      <c r="M12" s="14">
        <f ca="1">SUMIF($B$5:$B$20,K12,$E$5:$E$20)-SUMIF($G$5:$G$20,K12,J12:$J$20)</f>
        <v>0</v>
      </c>
    </row>
    <row r="13" spans="1:13" x14ac:dyDescent="0.25">
      <c r="A13" s="8"/>
      <c r="B13" s="8"/>
      <c r="C13" s="8"/>
      <c r="D13" s="9"/>
      <c r="E13" s="9">
        <f t="shared" si="0"/>
        <v>0</v>
      </c>
      <c r="F13" s="11"/>
      <c r="G13" s="11"/>
      <c r="H13" s="11"/>
      <c r="I13" s="12"/>
      <c r="J13" s="12">
        <f t="shared" si="1"/>
        <v>0</v>
      </c>
      <c r="K13" s="13"/>
      <c r="L13" s="13">
        <f t="shared" si="2"/>
        <v>0</v>
      </c>
      <c r="M13" s="14">
        <f ca="1">SUMIF($B$5:$B$20,K13,$E$5:$E$20)-SUMIF($G$5:$G$20,K13,J13:$J$20)</f>
        <v>0</v>
      </c>
    </row>
    <row r="14" spans="1:13" x14ac:dyDescent="0.25">
      <c r="A14" s="8"/>
      <c r="B14" s="8"/>
      <c r="C14" s="8"/>
      <c r="D14" s="9"/>
      <c r="E14" s="9">
        <f t="shared" si="0"/>
        <v>0</v>
      </c>
      <c r="F14" s="11"/>
      <c r="G14" s="11"/>
      <c r="H14" s="11"/>
      <c r="I14" s="12"/>
      <c r="J14" s="12">
        <f t="shared" si="1"/>
        <v>0</v>
      </c>
      <c r="K14" s="13"/>
      <c r="L14" s="13">
        <f t="shared" si="2"/>
        <v>0</v>
      </c>
      <c r="M14" s="14">
        <f ca="1">SUMIF($B$5:$B$20,K14,$E$5:$E$20)-SUMIF($G$5:$G$20,K14,J14:$J$20)</f>
        <v>0</v>
      </c>
    </row>
    <row r="15" spans="1:13" x14ac:dyDescent="0.25">
      <c r="A15" s="8"/>
      <c r="B15" s="8"/>
      <c r="C15" s="8"/>
      <c r="D15" s="9"/>
      <c r="E15" s="9">
        <f t="shared" si="0"/>
        <v>0</v>
      </c>
      <c r="F15" s="11"/>
      <c r="G15" s="11"/>
      <c r="H15" s="11"/>
      <c r="I15" s="12"/>
      <c r="J15" s="12">
        <f t="shared" si="1"/>
        <v>0</v>
      </c>
      <c r="K15" s="13"/>
      <c r="L15" s="13">
        <f t="shared" si="2"/>
        <v>0</v>
      </c>
      <c r="M15" s="14">
        <f ca="1">SUMIF($B$5:$B$20,K15,$E$5:$E$20)-SUMIF($G$5:$G$20,K15,J15:$J$20)</f>
        <v>0</v>
      </c>
    </row>
    <row r="16" spans="1:13" x14ac:dyDescent="0.25">
      <c r="A16" s="8"/>
      <c r="B16" s="8"/>
      <c r="C16" s="8"/>
      <c r="D16" s="9"/>
      <c r="E16" s="9">
        <f t="shared" si="0"/>
        <v>0</v>
      </c>
      <c r="F16" s="11"/>
      <c r="G16" s="11"/>
      <c r="H16" s="11"/>
      <c r="I16" s="12"/>
      <c r="J16" s="12">
        <f t="shared" si="1"/>
        <v>0</v>
      </c>
      <c r="K16" s="13"/>
      <c r="L16" s="13">
        <f t="shared" si="2"/>
        <v>0</v>
      </c>
      <c r="M16" s="14">
        <f ca="1">SUMIF($B$5:$B$20,K16,$E$5:$E$20)-SUMIF($G$5:$G$20,K16,J16:$J$20)</f>
        <v>0</v>
      </c>
    </row>
    <row r="17" spans="1:13" x14ac:dyDescent="0.25">
      <c r="A17" s="8"/>
      <c r="B17" s="8"/>
      <c r="C17" s="8"/>
      <c r="D17" s="9"/>
      <c r="E17" s="9">
        <f t="shared" si="0"/>
        <v>0</v>
      </c>
      <c r="F17" s="11"/>
      <c r="G17" s="11"/>
      <c r="H17" s="11"/>
      <c r="I17" s="12"/>
      <c r="J17" s="12">
        <f t="shared" si="1"/>
        <v>0</v>
      </c>
      <c r="K17" s="13"/>
      <c r="L17" s="13">
        <f t="shared" si="2"/>
        <v>0</v>
      </c>
      <c r="M17" s="14">
        <f ca="1">SUMIF($B$5:$B$20,K17,$E$5:$E$20)-SUMIF($G$5:$G$20,K17,J17:$J$20)</f>
        <v>0</v>
      </c>
    </row>
    <row r="18" spans="1:13" x14ac:dyDescent="0.25">
      <c r="A18" s="8"/>
      <c r="B18" s="8"/>
      <c r="C18" s="8"/>
      <c r="D18" s="9"/>
      <c r="E18" s="9">
        <f t="shared" si="0"/>
        <v>0</v>
      </c>
      <c r="F18" s="11"/>
      <c r="G18" s="11"/>
      <c r="H18" s="11"/>
      <c r="I18" s="12"/>
      <c r="J18" s="12">
        <f t="shared" si="1"/>
        <v>0</v>
      </c>
      <c r="K18" s="13"/>
      <c r="L18" s="13">
        <f t="shared" si="2"/>
        <v>0</v>
      </c>
      <c r="M18" s="14">
        <f ca="1">SUMIF($B$5:$B$20,K18,$E$5:$E$20)-SUMIF($G$5:$G$20,K18,J18:$J$20)</f>
        <v>0</v>
      </c>
    </row>
    <row r="19" spans="1:13" x14ac:dyDescent="0.25">
      <c r="A19" s="8"/>
      <c r="B19" s="8"/>
      <c r="C19" s="8"/>
      <c r="D19" s="9"/>
      <c r="E19" s="9">
        <f t="shared" si="0"/>
        <v>0</v>
      </c>
      <c r="F19" s="11"/>
      <c r="G19" s="11"/>
      <c r="H19" s="11"/>
      <c r="I19" s="12"/>
      <c r="J19" s="12">
        <f t="shared" si="1"/>
        <v>0</v>
      </c>
      <c r="K19" s="13"/>
      <c r="L19" s="13">
        <f t="shared" si="2"/>
        <v>0</v>
      </c>
      <c r="M19" s="14">
        <f ca="1">SUMIF($B$5:$B$20,K19,$E$5:$E$20)-SUMIF($G$5:$G$20,K19,J19:$J$20)</f>
        <v>0</v>
      </c>
    </row>
    <row r="20" spans="1:13" x14ac:dyDescent="0.25">
      <c r="A20" s="8"/>
      <c r="B20" s="8"/>
      <c r="C20" s="8"/>
      <c r="D20" s="9"/>
      <c r="E20" s="9">
        <f t="shared" si="0"/>
        <v>0</v>
      </c>
      <c r="F20" s="11"/>
      <c r="G20" s="11"/>
      <c r="H20" s="11"/>
      <c r="I20" s="12"/>
      <c r="J20" s="12">
        <f t="shared" si="1"/>
        <v>0</v>
      </c>
      <c r="K20" s="13"/>
      <c r="L20" s="13">
        <f t="shared" si="2"/>
        <v>0</v>
      </c>
      <c r="M20" s="14">
        <f ca="1">SUMIF($B$5:$B$20,K20,$E$5:$E$20)-SUMIF($G$5:$G$20,K20,J20:$J$20)</f>
        <v>0</v>
      </c>
    </row>
  </sheetData>
  <mergeCells count="3">
    <mergeCell ref="A3:E3"/>
    <mergeCell ref="F3:J3"/>
    <mergeCell ref="K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DHAMAL OF TOTAL</dc:creator>
  <cp:lastModifiedBy>DHAMAL OF TOTAL</cp:lastModifiedBy>
  <dcterms:created xsi:type="dcterms:W3CDTF">2026-10-19T08:53:28Z</dcterms:created>
  <dcterms:modified xsi:type="dcterms:W3CDTF">2026-10-19T14:05:36Z</dcterms:modified>
</cp:coreProperties>
</file>