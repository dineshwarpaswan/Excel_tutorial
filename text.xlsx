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2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Sheet1!$A$3:$E$14</definedName>
    <definedName name="_xlnm._FilterDatabase" localSheetId="2" hidden="1">Sheet2!$A$3:$E$15</definedName>
  </definedNames>
  <calcPr calcId="124519"/>
  <pivotCaches>
    <pivotCache cacheId="4" r:id="rId5"/>
  </pivotCaches>
</workbook>
</file>

<file path=xl/calcChain.xml><?xml version="1.0" encoding="utf-8"?>
<calcChain xmlns="http://schemas.openxmlformats.org/spreadsheetml/2006/main">
  <c r="B18" i="3"/>
  <c r="C18"/>
  <c r="D18" s="1"/>
  <c r="E18" s="1"/>
  <c r="B19"/>
  <c r="C19" s="1"/>
  <c r="D19" s="1"/>
  <c r="E19" s="1"/>
  <c r="B20"/>
  <c r="C20" s="1"/>
  <c r="D20" s="1"/>
  <c r="E20" s="1"/>
  <c r="B21"/>
  <c r="C21" s="1"/>
  <c r="D21" s="1"/>
  <c r="E21" s="1"/>
  <c r="B22"/>
  <c r="C22" s="1"/>
  <c r="D22" s="1"/>
  <c r="E22" s="1"/>
  <c r="B23"/>
  <c r="C23" s="1"/>
  <c r="D23" s="1"/>
  <c r="E23" s="1"/>
  <c r="C17"/>
  <c r="D17" s="1"/>
  <c r="E17" s="1"/>
  <c r="B17"/>
  <c r="K3"/>
  <c r="K4"/>
  <c r="K5"/>
  <c r="K6"/>
  <c r="K7"/>
  <c r="K8"/>
  <c r="K9"/>
  <c r="K10"/>
  <c r="K11"/>
  <c r="K12"/>
  <c r="K13"/>
  <c r="K14"/>
  <c r="I14" i="1"/>
  <c r="L11"/>
  <c r="L12"/>
  <c r="L13"/>
  <c r="L14"/>
  <c r="L15"/>
  <c r="L16"/>
  <c r="G11"/>
  <c r="G14"/>
  <c r="H5"/>
  <c r="H6"/>
  <c r="H7"/>
  <c r="H8"/>
  <c r="H4"/>
  <c r="I11"/>
  <c r="K12"/>
  <c r="K13"/>
  <c r="K14"/>
  <c r="K15"/>
  <c r="K16"/>
  <c r="K11"/>
  <c r="I12"/>
  <c r="I13"/>
  <c r="I15"/>
  <c r="I16"/>
</calcChain>
</file>

<file path=xl/sharedStrings.xml><?xml version="1.0" encoding="utf-8"?>
<sst xmlns="http://schemas.openxmlformats.org/spreadsheetml/2006/main" count="183" uniqueCount="62">
  <si>
    <t>Pro id</t>
  </si>
  <si>
    <t>PRODUCT NAME</t>
  </si>
  <si>
    <t>PRICE</t>
  </si>
  <si>
    <t>CITY NAME</t>
  </si>
  <si>
    <t>STATE</t>
  </si>
  <si>
    <t>MOBILE</t>
  </si>
  <si>
    <t>GAYA</t>
  </si>
  <si>
    <t>BIHAR</t>
  </si>
  <si>
    <t>CAR</t>
  </si>
  <si>
    <t>LAPTOP</t>
  </si>
  <si>
    <t>PATNA</t>
  </si>
  <si>
    <t>RANCHI</t>
  </si>
  <si>
    <t>JHARKHAND</t>
  </si>
  <si>
    <t>TATA</t>
  </si>
  <si>
    <t>BYK</t>
  </si>
  <si>
    <t>BOKARO</t>
  </si>
  <si>
    <t>Textjoin/concatenate Furmula used multiple Cell join</t>
  </si>
  <si>
    <t>FIND TEXT SORT CUT KEY( CRTL +H)</t>
  </si>
  <si>
    <t>FILER USED</t>
  </si>
  <si>
    <t>28.03.2026</t>
  </si>
  <si>
    <t>27-03-2026</t>
  </si>
  <si>
    <t>25.03.2026</t>
  </si>
  <si>
    <t>26.03.2026</t>
  </si>
  <si>
    <t>22-03-2026</t>
  </si>
  <si>
    <t>30-03-20026</t>
  </si>
  <si>
    <t>14-03-2026</t>
  </si>
  <si>
    <t>23-03-2026</t>
  </si>
  <si>
    <t>13-03-2026</t>
  </si>
  <si>
    <t>18-03-2026</t>
  </si>
  <si>
    <t>17.03.2026</t>
  </si>
  <si>
    <t>17-03-2026</t>
  </si>
  <si>
    <t>SHORT DATE</t>
  </si>
  <si>
    <t>Differente Date formate convert in  Short Date</t>
  </si>
  <si>
    <t>Last Name</t>
  </si>
  <si>
    <t>PASWAN</t>
  </si>
  <si>
    <t>yADAV</t>
  </si>
  <si>
    <t>Fist Name</t>
  </si>
  <si>
    <t>DinESHAWR</t>
  </si>
  <si>
    <t>RaJU</t>
  </si>
  <si>
    <t>MNISHA</t>
  </si>
  <si>
    <t>pinki</t>
  </si>
  <si>
    <t>mantu</t>
  </si>
  <si>
    <t>First Name</t>
  </si>
  <si>
    <t>RaM</t>
  </si>
  <si>
    <t>kumaRI</t>
  </si>
  <si>
    <t>sarma</t>
  </si>
  <si>
    <t>kUmari</t>
  </si>
  <si>
    <t>upper case used all text capital</t>
  </si>
  <si>
    <t>lower case used all text lower</t>
  </si>
  <si>
    <t>DINESHWAR PASWAN</t>
  </si>
  <si>
    <t>Full Name</t>
  </si>
  <si>
    <t>DineshWAR paswan</t>
  </si>
  <si>
    <t>rajNISHA</t>
  </si>
  <si>
    <t xml:space="preserve">used Conditinal formating for hilight </t>
  </si>
  <si>
    <t>SALE PRICE</t>
  </si>
  <si>
    <t>BONAS ON SELES</t>
  </si>
  <si>
    <t>IF conditiona used with &gt;Value</t>
  </si>
  <si>
    <t>VLOOKUP USED</t>
  </si>
  <si>
    <t>HLOOKUP USED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</si>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</sst>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>
  <numFmts count="1">
    <numFmt numFmtId="164" formatCode="#,##0.00_-[$₹-44D]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0093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Alignment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9900FF"/>
      <color rgb="FFD6009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57922337961" createdVersion="3" refreshedVersion="3" minRefreshableVersion="3" recordCount="12">
  <cacheSource type="worksheet">
    <worksheetSource ref="A3:E15" sheet="Sheet2"/>
  </cacheSource>
  <cacheFields count="5">
    <cacheField name="Pro id" numFmtId="0">
      <sharedItems containsSemiMixedTypes="0" containsString="0" containsNumber="1" containsInteger="1" minValue="1" maxValue="12"/>
    </cacheField>
    <cacheField name="PRODUCT NAME" numFmtId="0">
      <sharedItems count="4">
        <s v="CAR"/>
        <s v="BYK"/>
        <s v="LAPTOP"/>
        <s v="MOBILE"/>
      </sharedItems>
    </cacheField>
    <cacheField name="PRICE" numFmtId="164">
      <sharedItems containsSemiMixedTypes="0" containsString="0" containsNumber="1" containsInteger="1" minValue="100" maxValue="3500"/>
    </cacheField>
    <cacheField name="CITY NAME" numFmtId="0">
      <sharedItems count="5">
        <s v="PATNA"/>
        <s v="RANCHI"/>
        <s v="BOKARO"/>
        <s v="GAYA"/>
        <s v="TATA"/>
      </sharedItems>
    </cacheField>
    <cacheField name="STAT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1"/>
    <x v="0"/>
    <n v="3500"/>
    <x v="0"/>
    <s v="BIHAR"/>
  </r>
  <r>
    <n v="12"/>
    <x v="1"/>
    <n v="2800"/>
    <x v="1"/>
    <s v="JHARKHAND"/>
  </r>
  <r>
    <n v="10"/>
    <x v="1"/>
    <n v="2050"/>
    <x v="2"/>
    <s v="JHARKHAND"/>
  </r>
  <r>
    <n v="9"/>
    <x v="2"/>
    <n v="750"/>
    <x v="3"/>
    <s v="BIHAR"/>
  </r>
  <r>
    <n v="4"/>
    <x v="0"/>
    <n v="700"/>
    <x v="3"/>
    <s v="BIHAR"/>
  </r>
  <r>
    <n v="3"/>
    <x v="3"/>
    <n v="600"/>
    <x v="4"/>
    <s v="JHARKHAND"/>
  </r>
  <r>
    <n v="1"/>
    <x v="3"/>
    <n v="500"/>
    <x v="3"/>
    <s v="BIHAR"/>
  </r>
  <r>
    <n v="8"/>
    <x v="3"/>
    <n v="450"/>
    <x v="1"/>
    <s v="JHARKHAND"/>
  </r>
  <r>
    <n v="5"/>
    <x v="2"/>
    <n v="400"/>
    <x v="1"/>
    <s v="JHARKHAND"/>
  </r>
  <r>
    <n v="7"/>
    <x v="2"/>
    <n v="300"/>
    <x v="3"/>
    <s v="BIHAR"/>
  </r>
  <r>
    <n v="6"/>
    <x v="0"/>
    <n v="250"/>
    <x v="4"/>
    <s v="JHARKHAND"/>
  </r>
  <r>
    <n v="2"/>
    <x v="0"/>
    <n v="100"/>
    <x v="1"/>
    <s v="JHARKH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9" firstHeaderRow="1" firstDataRow="1" firstDataCol="1"/>
  <pivotFields count="5"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</pivotFields>
  <rowFields count="2">
    <field x="1"/>
    <field x="3"/>
  </rowFields>
  <rowItems count="16">
    <i>
      <x/>
    </i>
    <i r="1">
      <x/>
    </i>
    <i r="1">
      <x v="3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3"/>
    </i>
    <i>
      <x v="3"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6"/>
  <sheetViews>
    <sheetView workbookViewId="0">
      <selection activeCell="N13" sqref="A1:XFD1048576"/>
    </sheetView>
  </sheetViews>
  <sheetFormatPr defaultRowHeight="15"/>
  <cols>
    <col min="2" max="2" width="15.42578125" bestFit="1" customWidth="1"/>
    <col min="3" max="3" width="10" bestFit="1" customWidth="1"/>
    <col min="4" max="4" width="10.5703125" bestFit="1" customWidth="1"/>
    <col min="5" max="5" width="11.85546875" bestFit="1" customWidth="1"/>
    <col min="7" max="7" width="27.85546875" customWidth="1"/>
    <col min="8" max="8" width="11.5703125" bestFit="1" customWidth="1"/>
    <col min="9" max="9" width="13.140625" bestFit="1" customWidth="1"/>
    <col min="10" max="11" width="10.140625" bestFit="1" customWidth="1"/>
  </cols>
  <sheetData>
    <row r="2" spans="1:13">
      <c r="B2" s="21" t="s">
        <v>17</v>
      </c>
      <c r="C2" s="22"/>
      <c r="D2" s="22"/>
      <c r="E2" s="22"/>
    </row>
    <row r="3" spans="1:13" ht="18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G3" s="23" t="s">
        <v>16</v>
      </c>
      <c r="H3" s="23"/>
      <c r="I3" s="23"/>
      <c r="J3" s="23"/>
      <c r="K3" s="23"/>
    </row>
    <row r="4" spans="1:13">
      <c r="A4" s="1">
        <v>11</v>
      </c>
      <c r="B4" s="9" t="s">
        <v>8</v>
      </c>
      <c r="C4" s="6">
        <v>3500</v>
      </c>
      <c r="D4" s="1" t="s">
        <v>10</v>
      </c>
      <c r="E4" s="1" t="s">
        <v>7</v>
      </c>
      <c r="G4" s="4"/>
      <c r="H4" s="20" t="str">
        <f>CONCATENATE(B4," ",D4," ",E4)</f>
        <v>CAR PATNA BIHAR</v>
      </c>
      <c r="I4" s="20"/>
      <c r="J4" s="20"/>
      <c r="K4" s="20"/>
    </row>
    <row r="5" spans="1:13">
      <c r="A5" s="1">
        <v>12</v>
      </c>
      <c r="B5" s="8" t="s">
        <v>14</v>
      </c>
      <c r="C5" s="6">
        <v>2800</v>
      </c>
      <c r="D5" s="1" t="s">
        <v>11</v>
      </c>
      <c r="E5" s="1" t="s">
        <v>12</v>
      </c>
      <c r="G5" s="3"/>
      <c r="H5" s="20" t="str">
        <f t="shared" ref="H5:H8" si="0">CONCATENATE(B5," ",D5," ",E5)</f>
        <v>BYK RANCHI JHARKHAND</v>
      </c>
      <c r="I5" s="20"/>
      <c r="J5" s="20"/>
      <c r="K5" s="20"/>
    </row>
    <row r="6" spans="1:13">
      <c r="A6" s="1">
        <v>10</v>
      </c>
      <c r="B6" s="8" t="s">
        <v>14</v>
      </c>
      <c r="C6" s="6">
        <v>2050</v>
      </c>
      <c r="D6" s="1" t="s">
        <v>15</v>
      </c>
      <c r="E6" s="1" t="s">
        <v>12</v>
      </c>
      <c r="G6" s="3"/>
      <c r="H6" s="20" t="str">
        <f t="shared" si="0"/>
        <v>BYK BOKARO JHARKHAND</v>
      </c>
      <c r="I6" s="20"/>
      <c r="J6" s="20"/>
      <c r="K6" s="20"/>
    </row>
    <row r="7" spans="1:13">
      <c r="A7" s="1">
        <v>9</v>
      </c>
      <c r="B7" s="8" t="s">
        <v>9</v>
      </c>
      <c r="C7" s="6">
        <v>750</v>
      </c>
      <c r="D7" s="1" t="s">
        <v>6</v>
      </c>
      <c r="E7" s="1" t="s">
        <v>7</v>
      </c>
      <c r="H7" s="20" t="str">
        <f t="shared" si="0"/>
        <v>LAPTOP GAYA BIHAR</v>
      </c>
      <c r="I7" s="20"/>
      <c r="J7" s="20"/>
      <c r="K7" s="20"/>
    </row>
    <row r="8" spans="1:13">
      <c r="A8" s="1">
        <v>4</v>
      </c>
      <c r="B8" s="8" t="s">
        <v>8</v>
      </c>
      <c r="C8" s="6">
        <v>700</v>
      </c>
      <c r="D8" s="1" t="s">
        <v>6</v>
      </c>
      <c r="E8" s="1" t="s">
        <v>7</v>
      </c>
      <c r="H8" s="20" t="str">
        <f t="shared" si="0"/>
        <v>CAR GAYA BIHAR</v>
      </c>
      <c r="I8" s="20"/>
      <c r="J8" s="20"/>
      <c r="K8" s="20"/>
    </row>
    <row r="9" spans="1:13">
      <c r="A9" s="1">
        <v>3</v>
      </c>
      <c r="B9" s="8" t="s">
        <v>5</v>
      </c>
      <c r="C9" s="6">
        <v>600</v>
      </c>
      <c r="D9" s="1" t="s">
        <v>13</v>
      </c>
      <c r="E9" s="1" t="s">
        <v>12</v>
      </c>
      <c r="G9" s="13" t="s">
        <v>47</v>
      </c>
      <c r="H9" s="5"/>
      <c r="I9" s="5"/>
      <c r="J9" s="5"/>
      <c r="K9" s="5"/>
      <c r="L9" s="5"/>
    </row>
    <row r="10" spans="1:13">
      <c r="A10" s="1">
        <v>8</v>
      </c>
      <c r="B10" s="8" t="s">
        <v>5</v>
      </c>
      <c r="C10" s="6">
        <v>450</v>
      </c>
      <c r="D10" s="1" t="s">
        <v>11</v>
      </c>
      <c r="E10" s="1" t="s">
        <v>12</v>
      </c>
      <c r="G10" s="10" t="s">
        <v>51</v>
      </c>
      <c r="H10" s="14" t="s">
        <v>36</v>
      </c>
      <c r="I10" s="14" t="s">
        <v>42</v>
      </c>
      <c r="J10" s="14" t="s">
        <v>33</v>
      </c>
      <c r="K10" s="14" t="s">
        <v>33</v>
      </c>
      <c r="L10" s="24" t="s">
        <v>50</v>
      </c>
      <c r="M10" s="25"/>
    </row>
    <row r="11" spans="1:13">
      <c r="A11" s="1">
        <v>5</v>
      </c>
      <c r="B11" s="8" t="s">
        <v>9</v>
      </c>
      <c r="C11" s="6">
        <v>400</v>
      </c>
      <c r="D11" s="1" t="s">
        <v>11</v>
      </c>
      <c r="E11" s="1" t="s">
        <v>12</v>
      </c>
      <c r="G11" t="str">
        <f>UPPER(G10)</f>
        <v>DINESHWAR PASWAN</v>
      </c>
      <c r="H11" s="11" t="s">
        <v>37</v>
      </c>
      <c r="I11" s="15" t="str">
        <f>PROPER(H11)</f>
        <v>Dineshawr</v>
      </c>
      <c r="J11" s="15" t="s">
        <v>34</v>
      </c>
      <c r="K11" s="11" t="str">
        <f>PROPER(J11)</f>
        <v>Paswan</v>
      </c>
      <c r="L11" s="20" t="str">
        <f>CONCATENATE(I11," ",K11)</f>
        <v>Dineshawr Paswan</v>
      </c>
      <c r="M11" s="20"/>
    </row>
    <row r="12" spans="1:13">
      <c r="A12" s="1">
        <v>7</v>
      </c>
      <c r="B12" s="8" t="s">
        <v>9</v>
      </c>
      <c r="C12" s="6">
        <v>300</v>
      </c>
      <c r="D12" s="1" t="s">
        <v>6</v>
      </c>
      <c r="E12" s="1" t="s">
        <v>7</v>
      </c>
      <c r="G12" s="13" t="s">
        <v>48</v>
      </c>
      <c r="H12" s="11" t="s">
        <v>38</v>
      </c>
      <c r="I12" s="15" t="str">
        <f t="shared" ref="I12:I16" si="1">PROPER(H12)</f>
        <v>Raju</v>
      </c>
      <c r="J12" s="15" t="s">
        <v>35</v>
      </c>
      <c r="K12" s="11" t="str">
        <f t="shared" ref="K12:K16" si="2">PROPER(J12)</f>
        <v>Yadav</v>
      </c>
      <c r="L12" s="20" t="str">
        <f t="shared" ref="L12:L16" si="3">CONCATENATE(I12," ",K12)</f>
        <v>Raju Yadav</v>
      </c>
      <c r="M12" s="20"/>
    </row>
    <row r="13" spans="1:13">
      <c r="A13" s="1">
        <v>6</v>
      </c>
      <c r="B13" s="8" t="s">
        <v>8</v>
      </c>
      <c r="C13" s="6">
        <v>250</v>
      </c>
      <c r="D13" s="1" t="s">
        <v>13</v>
      </c>
      <c r="E13" s="1" t="s">
        <v>12</v>
      </c>
      <c r="G13" s="10" t="s">
        <v>49</v>
      </c>
      <c r="H13" s="11" t="s">
        <v>39</v>
      </c>
      <c r="I13" s="15" t="str">
        <f t="shared" si="1"/>
        <v>Mnisha</v>
      </c>
      <c r="J13" s="11" t="s">
        <v>43</v>
      </c>
      <c r="K13" s="11" t="str">
        <f t="shared" si="2"/>
        <v>Ram</v>
      </c>
      <c r="L13" s="20" t="str">
        <f t="shared" si="3"/>
        <v>Mnisha Ram</v>
      </c>
      <c r="M13" s="20"/>
    </row>
    <row r="14" spans="1:13">
      <c r="A14" s="1">
        <v>2</v>
      </c>
      <c r="B14" s="8" t="s">
        <v>8</v>
      </c>
      <c r="C14" s="6">
        <v>100</v>
      </c>
      <c r="D14" s="1" t="s">
        <v>11</v>
      </c>
      <c r="E14" s="1" t="s">
        <v>12</v>
      </c>
      <c r="G14" s="10" t="str">
        <f>LOWER(G13)</f>
        <v>dineshwar paswan</v>
      </c>
      <c r="H14" s="11" t="s">
        <v>52</v>
      </c>
      <c r="I14" s="15" t="str">
        <f>PROPER(H14)</f>
        <v>Rajnisha</v>
      </c>
      <c r="J14" s="11" t="s">
        <v>44</v>
      </c>
      <c r="K14" s="11" t="str">
        <f t="shared" si="2"/>
        <v>Kumari</v>
      </c>
      <c r="L14" s="20" t="str">
        <f t="shared" si="3"/>
        <v>Rajnisha Kumari</v>
      </c>
      <c r="M14" s="20"/>
    </row>
    <row r="15" spans="1:13">
      <c r="H15" s="11" t="s">
        <v>40</v>
      </c>
      <c r="I15" s="15" t="str">
        <f t="shared" si="1"/>
        <v>Pinki</v>
      </c>
      <c r="J15" s="11" t="s">
        <v>45</v>
      </c>
      <c r="K15" s="11" t="str">
        <f t="shared" si="2"/>
        <v>Sarma</v>
      </c>
      <c r="L15" s="20" t="str">
        <f t="shared" si="3"/>
        <v>Pinki Sarma</v>
      </c>
      <c r="M15" s="20"/>
    </row>
    <row r="16" spans="1:13">
      <c r="H16" s="11" t="s">
        <v>41</v>
      </c>
      <c r="I16" s="15" t="str">
        <f t="shared" si="1"/>
        <v>Mantu</v>
      </c>
      <c r="J16" s="11" t="s">
        <v>46</v>
      </c>
      <c r="K16" s="11" t="str">
        <f t="shared" si="2"/>
        <v>Kumari</v>
      </c>
      <c r="L16" s="20" t="str">
        <f t="shared" si="3"/>
        <v>Mantu Kumari</v>
      </c>
      <c r="M16" s="20"/>
    </row>
  </sheetData>
  <sortState ref="A4:E15">
    <sortCondition descending="1" ref="C4"/>
  </sortState>
  <mergeCells count="14">
    <mergeCell ref="L14:M14"/>
    <mergeCell ref="L15:M15"/>
    <mergeCell ref="L16:M16"/>
    <mergeCell ref="L10:M10"/>
    <mergeCell ref="L11:M11"/>
    <mergeCell ref="L12:M12"/>
    <mergeCell ref="L13:M13"/>
    <mergeCell ref="H7:K7"/>
    <mergeCell ref="H8:K8"/>
    <mergeCell ref="B2:E2"/>
    <mergeCell ref="G3:K3"/>
    <mergeCell ref="H4:K4"/>
    <mergeCell ref="H6:K6"/>
    <mergeCell ref="H5:K5"/>
  </mergeCells>
  <conditionalFormatting sqref="B7">
    <cfRule type="cellIs" dxfId="16" priority="5" operator="greaterThan">
      <formula>500</formula>
    </cfRule>
    <cfRule type="cellIs" dxfId="15" priority="7" operator="greaterThan">
      <formula>2700</formula>
    </cfRule>
    <cfRule type="cellIs" dxfId="14" priority="8" operator="greaterThan">
      <formula>500</formula>
    </cfRule>
    <cfRule type="cellIs" dxfId="13" priority="10" operator="lessThan">
      <formula>500</formula>
    </cfRule>
    <cfRule type="cellIs" dxfId="12" priority="11" operator="greaterThan">
      <formula>500</formula>
    </cfRule>
  </conditionalFormatting>
  <conditionalFormatting sqref="B11">
    <cfRule type="cellIs" dxfId="11" priority="9" operator="lessThan">
      <formula>500</formula>
    </cfRule>
  </conditionalFormatting>
  <conditionalFormatting sqref="J15">
    <cfRule type="top10" dxfId="10" priority="1" rank="3"/>
  </conditionalFormatting>
  <conditionalFormatting sqref="B4:B14">
    <cfRule type="top10" dxfId="9" priority="17" rank="3"/>
    <cfRule type="cellIs" dxfId="8" priority="18" operator="greaterThan">
      <formula>2500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9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5703125" bestFit="1" customWidth="1"/>
  </cols>
  <sheetData>
    <row r="3" spans="1:2">
      <c r="A3" s="31" t="s">
        <v>59</v>
      </c>
      <c r="B3" t="s">
        <v>61</v>
      </c>
    </row>
    <row r="4" spans="1:2">
      <c r="A4" s="32" t="s">
        <v>14</v>
      </c>
      <c r="B4" s="33">
        <v>4850</v>
      </c>
    </row>
    <row r="5" spans="1:2">
      <c r="A5" s="34" t="s">
        <v>15</v>
      </c>
      <c r="B5" s="33">
        <v>2050</v>
      </c>
    </row>
    <row r="6" spans="1:2">
      <c r="A6" s="34" t="s">
        <v>11</v>
      </c>
      <c r="B6" s="33">
        <v>2800</v>
      </c>
    </row>
    <row r="7" spans="1:2">
      <c r="A7" s="32" t="s">
        <v>8</v>
      </c>
      <c r="B7" s="33">
        <v>4550</v>
      </c>
    </row>
    <row r="8" spans="1:2">
      <c r="A8" s="34" t="s">
        <v>6</v>
      </c>
      <c r="B8" s="33">
        <v>700</v>
      </c>
    </row>
    <row r="9" spans="1:2">
      <c r="A9" s="34" t="s">
        <v>10</v>
      </c>
      <c r="B9" s="33">
        <v>3500</v>
      </c>
    </row>
    <row r="10" spans="1:2">
      <c r="A10" s="34" t="s">
        <v>11</v>
      </c>
      <c r="B10" s="33">
        <v>100</v>
      </c>
    </row>
    <row r="11" spans="1:2">
      <c r="A11" s="34" t="s">
        <v>13</v>
      </c>
      <c r="B11" s="33">
        <v>250</v>
      </c>
    </row>
    <row r="12" spans="1:2">
      <c r="A12" s="32" t="s">
        <v>9</v>
      </c>
      <c r="B12" s="33">
        <v>1450</v>
      </c>
    </row>
    <row r="13" spans="1:2">
      <c r="A13" s="34" t="s">
        <v>6</v>
      </c>
      <c r="B13" s="33">
        <v>1050</v>
      </c>
    </row>
    <row r="14" spans="1:2">
      <c r="A14" s="34" t="s">
        <v>11</v>
      </c>
      <c r="B14" s="33">
        <v>400</v>
      </c>
    </row>
    <row r="15" spans="1:2">
      <c r="A15" s="32" t="s">
        <v>5</v>
      </c>
      <c r="B15" s="33">
        <v>1550</v>
      </c>
    </row>
    <row r="16" spans="1:2">
      <c r="A16" s="34" t="s">
        <v>6</v>
      </c>
      <c r="B16" s="33">
        <v>500</v>
      </c>
    </row>
    <row r="17" spans="1:2">
      <c r="A17" s="34" t="s">
        <v>11</v>
      </c>
      <c r="B17" s="33">
        <v>450</v>
      </c>
    </row>
    <row r="18" spans="1:2">
      <c r="A18" s="34" t="s">
        <v>13</v>
      </c>
      <c r="B18" s="33">
        <v>600</v>
      </c>
    </row>
    <row r="19" spans="1:2">
      <c r="A19" s="32" t="s">
        <v>60</v>
      </c>
      <c r="B19" s="33">
        <v>12400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E15"/>
  <sheetViews>
    <sheetView tabSelected="1" workbookViewId="0">
      <selection activeCell="H3" sqref="H3"/>
    </sheetView>
  </sheetViews>
  <sheetFormatPr defaultRowHeight="15"/>
  <cols>
    <col min="3" max="3" width="10" bestFit="1" customWidth="1"/>
    <col min="4" max="4" width="10.85546875" bestFit="1" customWidth="1"/>
    <col min="5" max="5" width="11.85546875" bestFit="1" customWidth="1"/>
  </cols>
  <sheetData>
    <row r="2" spans="1:5">
      <c r="A2" s="26" t="s">
        <v>18</v>
      </c>
      <c r="B2" s="26"/>
      <c r="C2" s="26"/>
      <c r="D2" s="26"/>
      <c r="E2" s="26"/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1">
        <v>11</v>
      </c>
      <c r="B4" s="1" t="s">
        <v>8</v>
      </c>
      <c r="C4" s="6">
        <v>3500</v>
      </c>
      <c r="D4" s="1" t="s">
        <v>10</v>
      </c>
      <c r="E4" s="1" t="s">
        <v>7</v>
      </c>
    </row>
    <row r="5" spans="1:5">
      <c r="A5" s="1">
        <v>12</v>
      </c>
      <c r="B5" s="1" t="s">
        <v>14</v>
      </c>
      <c r="C5" s="6">
        <v>2800</v>
      </c>
      <c r="D5" s="1" t="s">
        <v>11</v>
      </c>
      <c r="E5" s="1" t="s">
        <v>12</v>
      </c>
    </row>
    <row r="6" spans="1:5">
      <c r="A6" s="1">
        <v>10</v>
      </c>
      <c r="B6" s="1" t="s">
        <v>14</v>
      </c>
      <c r="C6" s="6">
        <v>2050</v>
      </c>
      <c r="D6" s="1" t="s">
        <v>15</v>
      </c>
      <c r="E6" s="1" t="s">
        <v>12</v>
      </c>
    </row>
    <row r="7" spans="1:5">
      <c r="A7" s="1">
        <v>9</v>
      </c>
      <c r="B7" s="1" t="s">
        <v>9</v>
      </c>
      <c r="C7" s="6">
        <v>750</v>
      </c>
      <c r="D7" s="1" t="s">
        <v>6</v>
      </c>
      <c r="E7" s="1" t="s">
        <v>7</v>
      </c>
    </row>
    <row r="8" spans="1:5">
      <c r="A8" s="1">
        <v>4</v>
      </c>
      <c r="B8" s="1" t="s">
        <v>8</v>
      </c>
      <c r="C8" s="6">
        <v>700</v>
      </c>
      <c r="D8" s="1" t="s">
        <v>6</v>
      </c>
      <c r="E8" s="1" t="s">
        <v>7</v>
      </c>
    </row>
    <row r="9" spans="1:5">
      <c r="A9" s="1">
        <v>3</v>
      </c>
      <c r="B9" s="1" t="s">
        <v>5</v>
      </c>
      <c r="C9" s="6">
        <v>600</v>
      </c>
      <c r="D9" s="1" t="s">
        <v>13</v>
      </c>
      <c r="E9" s="1" t="s">
        <v>12</v>
      </c>
    </row>
    <row r="10" spans="1:5">
      <c r="A10" s="1">
        <v>1</v>
      </c>
      <c r="B10" s="1" t="s">
        <v>5</v>
      </c>
      <c r="C10" s="6">
        <v>500</v>
      </c>
      <c r="D10" s="1" t="s">
        <v>6</v>
      </c>
      <c r="E10" s="1" t="s">
        <v>7</v>
      </c>
    </row>
    <row r="11" spans="1:5">
      <c r="A11" s="1">
        <v>8</v>
      </c>
      <c r="B11" s="1" t="s">
        <v>5</v>
      </c>
      <c r="C11" s="6">
        <v>450</v>
      </c>
      <c r="D11" s="1" t="s">
        <v>11</v>
      </c>
      <c r="E11" s="1" t="s">
        <v>12</v>
      </c>
    </row>
    <row r="12" spans="1:5">
      <c r="A12" s="1">
        <v>5</v>
      </c>
      <c r="B12" s="1" t="s">
        <v>9</v>
      </c>
      <c r="C12" s="6">
        <v>400</v>
      </c>
      <c r="D12" s="1" t="s">
        <v>11</v>
      </c>
      <c r="E12" s="1" t="s">
        <v>12</v>
      </c>
    </row>
    <row r="13" spans="1:5">
      <c r="A13" s="1">
        <v>7</v>
      </c>
      <c r="B13" s="1" t="s">
        <v>9</v>
      </c>
      <c r="C13" s="6">
        <v>300</v>
      </c>
      <c r="D13" s="1" t="s">
        <v>6</v>
      </c>
      <c r="E13" s="1" t="s">
        <v>7</v>
      </c>
    </row>
    <row r="14" spans="1:5">
      <c r="A14" s="1">
        <v>6</v>
      </c>
      <c r="B14" s="1" t="s">
        <v>8</v>
      </c>
      <c r="C14" s="6">
        <v>250</v>
      </c>
      <c r="D14" s="1" t="s">
        <v>13</v>
      </c>
      <c r="E14" s="1" t="s">
        <v>12</v>
      </c>
    </row>
    <row r="15" spans="1:5">
      <c r="A15" s="1">
        <v>2</v>
      </c>
      <c r="B15" s="1" t="s">
        <v>8</v>
      </c>
      <c r="C15" s="6">
        <v>100</v>
      </c>
      <c r="D15" s="1" t="s">
        <v>11</v>
      </c>
      <c r="E15" s="1" t="s">
        <v>12</v>
      </c>
    </row>
  </sheetData>
  <autoFilter ref="A3:E15"/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J23" sqref="A1:XFD1048576"/>
    </sheetView>
  </sheetViews>
  <sheetFormatPr defaultRowHeight="15"/>
  <cols>
    <col min="2" max="2" width="15.7109375" bestFit="1" customWidth="1"/>
    <col min="3" max="3" width="10" bestFit="1" customWidth="1"/>
    <col min="4" max="4" width="10.85546875" bestFit="1" customWidth="1"/>
    <col min="5" max="5" width="12" bestFit="1" customWidth="1"/>
    <col min="7" max="7" width="13.85546875" customWidth="1"/>
    <col min="8" max="8" width="20.140625" customWidth="1"/>
    <col min="10" max="10" width="11.7109375" bestFit="1" customWidth="1"/>
    <col min="11" max="11" width="18.140625" bestFit="1" customWidth="1"/>
  </cols>
  <sheetData>
    <row r="1" spans="1:11" ht="15.75">
      <c r="A1" s="27" t="s">
        <v>32</v>
      </c>
      <c r="B1" s="27"/>
      <c r="C1" s="27"/>
      <c r="D1" s="27"/>
      <c r="E1" s="27"/>
      <c r="G1" s="28" t="s">
        <v>53</v>
      </c>
      <c r="H1" s="28"/>
      <c r="J1" s="26" t="s">
        <v>56</v>
      </c>
      <c r="K1" s="26"/>
    </row>
    <row r="2" spans="1:11" ht="15.75">
      <c r="A2" s="2" t="s">
        <v>0</v>
      </c>
      <c r="B2" s="2" t="s">
        <v>1</v>
      </c>
      <c r="C2" s="2" t="s">
        <v>2</v>
      </c>
      <c r="D2" s="2" t="s">
        <v>3</v>
      </c>
      <c r="E2" s="2" t="s">
        <v>31</v>
      </c>
      <c r="G2" s="2" t="s">
        <v>2</v>
      </c>
      <c r="H2" s="2" t="s">
        <v>3</v>
      </c>
      <c r="J2" s="16" t="s">
        <v>54</v>
      </c>
      <c r="K2" s="16" t="s">
        <v>55</v>
      </c>
    </row>
    <row r="3" spans="1:11">
      <c r="A3" s="1">
        <v>11</v>
      </c>
      <c r="B3" s="1" t="s">
        <v>8</v>
      </c>
      <c r="C3" s="6">
        <v>3500</v>
      </c>
      <c r="D3" s="1" t="s">
        <v>10</v>
      </c>
      <c r="E3" s="7" t="s">
        <v>25</v>
      </c>
      <c r="G3" s="6">
        <v>3500</v>
      </c>
      <c r="H3" s="12" t="s">
        <v>10</v>
      </c>
      <c r="J3" s="18">
        <v>5000</v>
      </c>
      <c r="K3" s="17" t="str">
        <f>IF(J3&gt;1800," Get Bonas","No Bonas")</f>
        <v xml:space="preserve"> Get Bonas</v>
      </c>
    </row>
    <row r="4" spans="1:11">
      <c r="A4" s="1">
        <v>12</v>
      </c>
      <c r="B4" s="1" t="s">
        <v>14</v>
      </c>
      <c r="C4" s="6">
        <v>2800</v>
      </c>
      <c r="D4" s="1" t="s">
        <v>11</v>
      </c>
      <c r="E4" s="7" t="s">
        <v>19</v>
      </c>
      <c r="G4" s="6">
        <v>2800</v>
      </c>
      <c r="H4" s="12" t="s">
        <v>11</v>
      </c>
      <c r="J4" s="18">
        <v>300</v>
      </c>
      <c r="K4" s="17" t="str">
        <f t="shared" ref="K4:K14" si="0">IF(J4&gt;1800," Get Bonas","No Bonas")</f>
        <v>No Bonas</v>
      </c>
    </row>
    <row r="5" spans="1:11">
      <c r="A5" s="1">
        <v>10</v>
      </c>
      <c r="B5" s="1" t="s">
        <v>14</v>
      </c>
      <c r="C5" s="6">
        <v>2050</v>
      </c>
      <c r="D5" s="1" t="s">
        <v>15</v>
      </c>
      <c r="E5" s="7" t="s">
        <v>20</v>
      </c>
      <c r="G5" s="6">
        <v>2050</v>
      </c>
      <c r="H5" s="12" t="s">
        <v>6</v>
      </c>
      <c r="J5" s="18">
        <v>2500</v>
      </c>
      <c r="K5" s="17" t="str">
        <f t="shared" si="0"/>
        <v xml:space="preserve"> Get Bonas</v>
      </c>
    </row>
    <row r="6" spans="1:11">
      <c r="A6" s="1">
        <v>9</v>
      </c>
      <c r="B6" s="1" t="s">
        <v>9</v>
      </c>
      <c r="C6" s="6">
        <v>750</v>
      </c>
      <c r="D6" s="1" t="s">
        <v>6</v>
      </c>
      <c r="E6" s="7" t="s">
        <v>26</v>
      </c>
      <c r="G6" s="6">
        <v>750</v>
      </c>
      <c r="H6" s="12" t="s">
        <v>10</v>
      </c>
      <c r="J6" s="18">
        <v>1000</v>
      </c>
      <c r="K6" s="17" t="str">
        <f t="shared" si="0"/>
        <v>No Bonas</v>
      </c>
    </row>
    <row r="7" spans="1:11">
      <c r="A7" s="1">
        <v>4</v>
      </c>
      <c r="B7" s="1" t="s">
        <v>8</v>
      </c>
      <c r="C7" s="6">
        <v>700</v>
      </c>
      <c r="D7" s="1" t="s">
        <v>6</v>
      </c>
      <c r="E7" s="7" t="s">
        <v>30</v>
      </c>
      <c r="G7" s="6">
        <v>700</v>
      </c>
      <c r="H7" s="12" t="s">
        <v>6</v>
      </c>
      <c r="J7" s="18">
        <v>800</v>
      </c>
      <c r="K7" s="17" t="str">
        <f t="shared" si="0"/>
        <v>No Bonas</v>
      </c>
    </row>
    <row r="8" spans="1:11">
      <c r="A8" s="1">
        <v>3</v>
      </c>
      <c r="B8" s="1" t="s">
        <v>5</v>
      </c>
      <c r="C8" s="6">
        <v>600</v>
      </c>
      <c r="D8" s="1" t="s">
        <v>13</v>
      </c>
      <c r="E8" s="7" t="s">
        <v>21</v>
      </c>
      <c r="G8" s="6">
        <v>600</v>
      </c>
      <c r="H8" s="12" t="s">
        <v>13</v>
      </c>
      <c r="J8" s="18">
        <v>1500</v>
      </c>
      <c r="K8" s="17" t="str">
        <f t="shared" si="0"/>
        <v>No Bonas</v>
      </c>
    </row>
    <row r="9" spans="1:11">
      <c r="A9" s="1">
        <v>1</v>
      </c>
      <c r="B9" s="1" t="s">
        <v>5</v>
      </c>
      <c r="C9" s="6">
        <v>500</v>
      </c>
      <c r="D9" s="1" t="s">
        <v>6</v>
      </c>
      <c r="E9" s="7" t="s">
        <v>22</v>
      </c>
      <c r="G9" s="6">
        <v>500</v>
      </c>
      <c r="H9" s="12" t="s">
        <v>10</v>
      </c>
      <c r="J9" s="18">
        <v>2700</v>
      </c>
      <c r="K9" s="17" t="str">
        <f t="shared" si="0"/>
        <v xml:space="preserve"> Get Bonas</v>
      </c>
    </row>
    <row r="10" spans="1:11">
      <c r="A10" s="1">
        <v>8</v>
      </c>
      <c r="B10" s="1" t="s">
        <v>5</v>
      </c>
      <c r="C10" s="6">
        <v>450</v>
      </c>
      <c r="D10" s="1" t="s">
        <v>11</v>
      </c>
      <c r="E10" s="7" t="s">
        <v>27</v>
      </c>
      <c r="G10" s="6">
        <v>450</v>
      </c>
      <c r="H10" s="12" t="s">
        <v>6</v>
      </c>
      <c r="J10" s="18">
        <v>1800</v>
      </c>
      <c r="K10" s="17" t="str">
        <f t="shared" si="0"/>
        <v>No Bonas</v>
      </c>
    </row>
    <row r="11" spans="1:11">
      <c r="A11" s="1">
        <v>5</v>
      </c>
      <c r="B11" s="1" t="s">
        <v>9</v>
      </c>
      <c r="C11" s="6">
        <v>400</v>
      </c>
      <c r="D11" s="1" t="s">
        <v>11</v>
      </c>
      <c r="E11" s="7" t="s">
        <v>28</v>
      </c>
      <c r="G11" s="6">
        <v>400</v>
      </c>
      <c r="H11" s="12" t="s">
        <v>11</v>
      </c>
      <c r="J11" s="18">
        <v>500</v>
      </c>
      <c r="K11" s="17" t="str">
        <f t="shared" si="0"/>
        <v>No Bonas</v>
      </c>
    </row>
    <row r="12" spans="1:11">
      <c r="A12" s="1">
        <v>7</v>
      </c>
      <c r="B12" s="1" t="s">
        <v>9</v>
      </c>
      <c r="C12" s="6">
        <v>300</v>
      </c>
      <c r="D12" s="1" t="s">
        <v>6</v>
      </c>
      <c r="E12" s="7" t="s">
        <v>23</v>
      </c>
      <c r="G12" s="6">
        <v>300</v>
      </c>
      <c r="H12" s="12" t="s">
        <v>6</v>
      </c>
      <c r="J12" s="18">
        <v>1200</v>
      </c>
      <c r="K12" s="17" t="str">
        <f t="shared" si="0"/>
        <v>No Bonas</v>
      </c>
    </row>
    <row r="13" spans="1:11">
      <c r="A13" s="1">
        <v>6</v>
      </c>
      <c r="B13" s="1" t="s">
        <v>8</v>
      </c>
      <c r="C13" s="6">
        <v>250</v>
      </c>
      <c r="D13" s="1" t="s">
        <v>13</v>
      </c>
      <c r="E13" s="7" t="s">
        <v>24</v>
      </c>
      <c r="G13" s="6">
        <v>250</v>
      </c>
      <c r="H13" s="12" t="s">
        <v>13</v>
      </c>
      <c r="J13" s="18">
        <v>400</v>
      </c>
      <c r="K13" s="17" t="str">
        <f t="shared" si="0"/>
        <v>No Bonas</v>
      </c>
    </row>
    <row r="14" spans="1:11">
      <c r="A14" s="1">
        <v>2</v>
      </c>
      <c r="B14" s="1" t="s">
        <v>8</v>
      </c>
      <c r="C14" s="6">
        <v>100</v>
      </c>
      <c r="D14" s="1" t="s">
        <v>11</v>
      </c>
      <c r="E14" s="7" t="s">
        <v>29</v>
      </c>
      <c r="G14" s="6">
        <v>100</v>
      </c>
      <c r="H14" s="12" t="s">
        <v>11</v>
      </c>
      <c r="J14" s="18">
        <v>4000</v>
      </c>
      <c r="K14" s="17" t="str">
        <f t="shared" si="0"/>
        <v xml:space="preserve"> Get Bonas</v>
      </c>
    </row>
    <row r="16" spans="1:11">
      <c r="A16" s="10"/>
      <c r="B16" s="29" t="s">
        <v>57</v>
      </c>
      <c r="C16" s="29"/>
      <c r="D16" s="10"/>
      <c r="E16" s="10"/>
      <c r="G16" s="30" t="s">
        <v>58</v>
      </c>
      <c r="H16" s="30"/>
      <c r="I16" s="30"/>
      <c r="J16" s="30"/>
    </row>
    <row r="17" spans="1:10">
      <c r="A17" s="19">
        <v>11</v>
      </c>
      <c r="B17" s="10" t="str">
        <f>VLOOKUP(A17,A3:E14,2,FALSE)</f>
        <v>CAR</v>
      </c>
      <c r="C17" s="10">
        <f t="shared" ref="C17:E17" si="1">VLOOKUP(B17,B3:F14,2,FALSE)</f>
        <v>3500</v>
      </c>
      <c r="D17" s="10" t="str">
        <f t="shared" si="1"/>
        <v>PATNA</v>
      </c>
      <c r="E17" s="10" t="str">
        <f t="shared" si="1"/>
        <v>14-03-2026</v>
      </c>
      <c r="G17" s="10"/>
      <c r="H17" s="10"/>
      <c r="I17" s="10"/>
      <c r="J17" s="10"/>
    </row>
    <row r="18" spans="1:10">
      <c r="A18" s="19">
        <v>12</v>
      </c>
      <c r="B18" s="10" t="str">
        <f t="shared" ref="B18:B23" si="2">VLOOKUP(A18,A4:E15,2,FALSE)</f>
        <v>BYK</v>
      </c>
      <c r="C18" s="10">
        <f t="shared" ref="C18:C23" si="3">VLOOKUP(B18,B4:F15,2,FALSE)</f>
        <v>2800</v>
      </c>
      <c r="D18" s="10" t="str">
        <f t="shared" ref="D18:D23" si="4">VLOOKUP(C18,C4:G15,2,FALSE)</f>
        <v>RANCHI</v>
      </c>
      <c r="E18" s="10" t="str">
        <f t="shared" ref="E18:E23" si="5">VLOOKUP(D18,D4:H15,2,FALSE)</f>
        <v>28.03.2026</v>
      </c>
      <c r="G18" s="10"/>
      <c r="H18" s="10"/>
      <c r="I18" s="10"/>
      <c r="J18" s="10"/>
    </row>
    <row r="19" spans="1:10">
      <c r="A19" s="19">
        <v>8</v>
      </c>
      <c r="B19" s="10" t="str">
        <f t="shared" si="2"/>
        <v>MOBILE</v>
      </c>
      <c r="C19" s="10">
        <f t="shared" si="3"/>
        <v>600</v>
      </c>
      <c r="D19" s="10" t="str">
        <f t="shared" si="4"/>
        <v>TATA</v>
      </c>
      <c r="E19" s="10" t="str">
        <f t="shared" si="5"/>
        <v>25.03.2026</v>
      </c>
      <c r="G19" s="10"/>
      <c r="H19" s="10"/>
      <c r="I19" s="10"/>
      <c r="J19" s="10"/>
    </row>
    <row r="20" spans="1:10">
      <c r="A20" s="19">
        <v>9</v>
      </c>
      <c r="B20" s="10" t="str">
        <f t="shared" si="2"/>
        <v>LAPTOP</v>
      </c>
      <c r="C20" s="10">
        <f t="shared" si="3"/>
        <v>750</v>
      </c>
      <c r="D20" s="10" t="str">
        <f t="shared" si="4"/>
        <v>GAYA</v>
      </c>
      <c r="E20" s="10" t="str">
        <f t="shared" si="5"/>
        <v>23-03-2026</v>
      </c>
      <c r="G20" s="10"/>
      <c r="H20" s="10"/>
      <c r="I20" s="10"/>
      <c r="J20" s="10"/>
    </row>
    <row r="21" spans="1:10">
      <c r="A21" s="19">
        <v>4</v>
      </c>
      <c r="B21" s="10" t="str">
        <f t="shared" si="2"/>
        <v>CAR</v>
      </c>
      <c r="C21" s="10">
        <f t="shared" si="3"/>
        <v>700</v>
      </c>
      <c r="D21" s="10" t="str">
        <f t="shared" si="4"/>
        <v>GAYA</v>
      </c>
      <c r="E21" s="10" t="str">
        <f t="shared" si="5"/>
        <v>17-03-2026</v>
      </c>
      <c r="G21" s="10"/>
      <c r="H21" s="10"/>
      <c r="I21" s="10"/>
      <c r="J21" s="10"/>
    </row>
    <row r="22" spans="1:10">
      <c r="A22" s="19">
        <v>3</v>
      </c>
      <c r="B22" s="10" t="str">
        <f t="shared" si="2"/>
        <v>MOBILE</v>
      </c>
      <c r="C22" s="10">
        <f t="shared" si="3"/>
        <v>600</v>
      </c>
      <c r="D22" s="10" t="str">
        <f t="shared" si="4"/>
        <v>TATA</v>
      </c>
      <c r="E22" s="10" t="str">
        <f t="shared" si="5"/>
        <v>25.03.2026</v>
      </c>
      <c r="G22" s="10"/>
      <c r="H22" s="10"/>
      <c r="I22" s="10"/>
      <c r="J22" s="10"/>
    </row>
    <row r="23" spans="1:10">
      <c r="A23" s="19">
        <v>1</v>
      </c>
      <c r="B23" s="10" t="str">
        <f t="shared" si="2"/>
        <v>MOBILE</v>
      </c>
      <c r="C23" s="10">
        <f t="shared" si="3"/>
        <v>500</v>
      </c>
      <c r="D23" s="10" t="str">
        <f t="shared" si="4"/>
        <v>GAYA</v>
      </c>
      <c r="E23" s="10" t="str">
        <f t="shared" si="5"/>
        <v>26.03.2026</v>
      </c>
      <c r="G23" s="10"/>
      <c r="H23" s="10"/>
      <c r="I23" s="10"/>
      <c r="J23" s="10"/>
    </row>
    <row r="24" spans="1:10">
      <c r="A24" s="10"/>
      <c r="B24" s="10"/>
      <c r="C24" s="10"/>
      <c r="D24" s="10"/>
      <c r="E24" s="10"/>
    </row>
    <row r="25" spans="1:10">
      <c r="A25" s="10"/>
      <c r="B25" s="10"/>
      <c r="C25" s="10"/>
      <c r="D25" s="10"/>
      <c r="E25" s="10"/>
    </row>
  </sheetData>
  <mergeCells count="5">
    <mergeCell ref="A1:E1"/>
    <mergeCell ref="G1:H1"/>
    <mergeCell ref="J1:K1"/>
    <mergeCell ref="B16:C16"/>
    <mergeCell ref="G16:J16"/>
  </mergeCells>
  <conditionalFormatting sqref="H3:H14">
    <cfRule type="containsText" dxfId="7" priority="11" operator="containsText" text="RANCHI">
      <formula>NOT(ISERROR(SEARCH("RANCHI",H3)))</formula>
    </cfRule>
    <cfRule type="containsText" dxfId="6" priority="12" operator="containsText" text="TATA">
      <formula>NOT(ISERROR(SEARCH("TATA",H3)))</formula>
    </cfRule>
    <cfRule type="containsText" dxfId="5" priority="13" operator="containsText" text="PATNA">
      <formula>NOT(ISERROR(SEARCH("PATNA",H3)))</formula>
    </cfRule>
  </conditionalFormatting>
  <conditionalFormatting sqref="G3:G14">
    <cfRule type="cellIs" dxfId="4" priority="7" operator="lessThan">
      <formula>500</formula>
    </cfRule>
    <cfRule type="cellIs" dxfId="3" priority="8" operator="greaterThan">
      <formula>2000</formula>
    </cfRule>
    <cfRule type="cellIs" dxfId="2" priority="9" operator="greaterThan">
      <formula>"1,800.00 ₹"</formula>
    </cfRule>
    <cfRule type="top10" priority="10" percent="1" rank="3"/>
  </conditionalFormatting>
  <conditionalFormatting sqref="K3:K14">
    <cfRule type="containsText" dxfId="1" priority="2" operator="containsText" text="Get Bonas">
      <formula>NOT(ISERROR(SEARCH("Get Bonas",K3)))</formula>
    </cfRule>
  </conditionalFormatting>
  <conditionalFormatting sqref="J3:J14">
    <cfRule type="cellIs" dxfId="0" priority="1" operator="greaterThan">
      <formula>1800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2026-08-24T04:49:34Z</dcterms:created>
  <dcterms:modified xsi:type="dcterms:W3CDTF">2026-09-17T20:00:43Z</dcterms:modified>
</cp:coreProperties>
</file>