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621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3" i="2"/>
  <c r="C14" s="1"/>
  <c r="C15" l="1"/>
</calcChain>
</file>

<file path=xl/sharedStrings.xml><?xml version="1.0" encoding="utf-8"?>
<sst xmlns="http://schemas.openxmlformats.org/spreadsheetml/2006/main" count="127" uniqueCount="102">
  <si>
    <t>JOB_ID</t>
  </si>
  <si>
    <t>GENDER</t>
  </si>
  <si>
    <t>JOB CITY</t>
  </si>
  <si>
    <t>EMPLOYE NAME</t>
  </si>
  <si>
    <t>SALLARI</t>
  </si>
  <si>
    <t>DATE OF JON</t>
  </si>
  <si>
    <t>RETIRMENT DATE</t>
  </si>
  <si>
    <t>DINESHWAR PASWAN</t>
  </si>
  <si>
    <t>IT SECTOR</t>
  </si>
  <si>
    <t>MALE</t>
  </si>
  <si>
    <t>15/M/2026</t>
  </si>
  <si>
    <t>BOKARO</t>
  </si>
  <si>
    <t>B011</t>
  </si>
  <si>
    <t>R012</t>
  </si>
  <si>
    <t>MUKESH KMAR RAJAK</t>
  </si>
  <si>
    <t>RAILWAY</t>
  </si>
  <si>
    <t>RANCHI</t>
  </si>
  <si>
    <t>05/AGU/2045</t>
  </si>
  <si>
    <t>D012</t>
  </si>
  <si>
    <t>RAVENDER MAHTO</t>
  </si>
  <si>
    <t>DEFENCE</t>
  </si>
  <si>
    <t>JAMU KASHMIR</t>
  </si>
  <si>
    <t>SOFWARE ENG</t>
  </si>
  <si>
    <t>JUNIOR ENG</t>
  </si>
  <si>
    <t>LEFTINANT CORNAL</t>
  </si>
  <si>
    <t>DEPATMENS</t>
  </si>
  <si>
    <t>TE012</t>
  </si>
  <si>
    <t>MONIKA SINGH</t>
  </si>
  <si>
    <t>TECHING</t>
  </si>
  <si>
    <t>PATNA</t>
  </si>
  <si>
    <t>ASSISTANT PROFESER</t>
  </si>
  <si>
    <t>FAMALE</t>
  </si>
  <si>
    <t>SIMA KUMARI PASWAN</t>
  </si>
  <si>
    <t>HEALTH</t>
  </si>
  <si>
    <t>DHANBAD</t>
  </si>
  <si>
    <t>SENIOR DOCTOR</t>
  </si>
  <si>
    <t>BK012</t>
  </si>
  <si>
    <t>PREM PASWAN</t>
  </si>
  <si>
    <t>BANKING</t>
  </si>
  <si>
    <t>GAYA JI</t>
  </si>
  <si>
    <t>CHEF MANAGER</t>
  </si>
  <si>
    <t>DIGNATIONS</t>
  </si>
  <si>
    <t>JOB NATURS</t>
  </si>
  <si>
    <t>FUL TMLE</t>
  </si>
  <si>
    <t>GOVE/PRIVATE</t>
  </si>
  <si>
    <t>PRIVATE</t>
  </si>
  <si>
    <t>CENRAL GOVERNT</t>
  </si>
  <si>
    <t>STATE GOVERMANT</t>
  </si>
  <si>
    <t>CENTRAL GOVERNMENT</t>
  </si>
  <si>
    <t>STATE NAME</t>
  </si>
  <si>
    <t>JHARKHAND</t>
  </si>
  <si>
    <t>JAMU KAMIR</t>
  </si>
  <si>
    <t>BIHAR</t>
  </si>
  <si>
    <t>C012</t>
  </si>
  <si>
    <t>SNEHLAT PANDIT</t>
  </si>
  <si>
    <t>CORPORATE</t>
  </si>
  <si>
    <t>KOLKATA</t>
  </si>
  <si>
    <t>13/AG/2054</t>
  </si>
  <si>
    <t xml:space="preserve"> JONAL MANAGER</t>
  </si>
  <si>
    <t>PART TIME</t>
  </si>
  <si>
    <t>WEST BANGAL</t>
  </si>
  <si>
    <t>IT012</t>
  </si>
  <si>
    <t>NEHA KMARI</t>
  </si>
  <si>
    <t xml:space="preserve"> IT SECTOR</t>
  </si>
  <si>
    <t>HYDRABAD</t>
  </si>
  <si>
    <t>SEO ENG</t>
  </si>
  <si>
    <t>ANDHRA PRADESH</t>
  </si>
  <si>
    <t>MOBILE N.</t>
  </si>
  <si>
    <t>EMPLOYEE MEMBERS</t>
  </si>
  <si>
    <t>COURCE  NAME</t>
  </si>
  <si>
    <t>FEES</t>
  </si>
  <si>
    <t>COURCE ID</t>
  </si>
  <si>
    <t>COM001</t>
  </si>
  <si>
    <t>COMPUTER</t>
  </si>
  <si>
    <t>MAT001</t>
  </si>
  <si>
    <t>MATHEMATICS</t>
  </si>
  <si>
    <t>PHY001</t>
  </si>
  <si>
    <t>PHYICS</t>
  </si>
  <si>
    <t>CHE001</t>
  </si>
  <si>
    <t>CHEMESTORY</t>
  </si>
  <si>
    <t>ENG001</t>
  </si>
  <si>
    <t>ENGLIUSH</t>
  </si>
  <si>
    <t>HS011</t>
  </si>
  <si>
    <t>HISTORY</t>
  </si>
  <si>
    <t>GO011</t>
  </si>
  <si>
    <t>GEOGRAPHY</t>
  </si>
  <si>
    <t>HN011</t>
  </si>
  <si>
    <t>HNDI</t>
  </si>
  <si>
    <t>SC011</t>
  </si>
  <si>
    <t>SCIAL SCIENCE</t>
  </si>
  <si>
    <t>BO012</t>
  </si>
  <si>
    <t>BIOLOGY</t>
  </si>
  <si>
    <t xml:space="preserve">   VAILID</t>
  </si>
  <si>
    <t>TOTAL COURCE FEE</t>
  </si>
  <si>
    <t>GST OF 18%</t>
  </si>
  <si>
    <t>PAID OF FEE</t>
  </si>
  <si>
    <t>FEE OF COURCE NOTICE.</t>
  </si>
  <si>
    <t>1 YEAR</t>
  </si>
  <si>
    <t>2.5 YEARS</t>
  </si>
  <si>
    <t>3 YEARS</t>
  </si>
  <si>
    <t>2 YEARS</t>
  </si>
  <si>
    <t>4 YEARS</t>
  </si>
</sst>
</file>

<file path=xl/styles.xml><?xml version="1.0" encoding="utf-8"?>
<styleSheet xmlns="http://schemas.openxmlformats.org/spreadsheetml/2006/main">
  <numFmts count="1">
    <numFmt numFmtId="167" formatCode="#,##0_-[$₹-44D]"/>
  </numFmts>
  <fonts count="1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Bauhaus 93"/>
      <family val="5"/>
    </font>
    <font>
      <sz val="22"/>
      <color theme="1"/>
      <name val="Bauhaus 93"/>
      <family val="5"/>
    </font>
    <font>
      <sz val="14"/>
      <color theme="1"/>
      <name val="Calibri"/>
      <family val="2"/>
      <scheme val="minor"/>
    </font>
    <font>
      <b/>
      <sz val="16"/>
      <color theme="1"/>
      <name val="Arabic Typesetting"/>
      <family val="4"/>
    </font>
    <font>
      <b/>
      <sz val="11"/>
      <color theme="1"/>
      <name val="Calibri"/>
      <family val="2"/>
      <scheme val="minor"/>
    </font>
    <font>
      <b/>
      <sz val="24"/>
      <color theme="0"/>
      <name val="Bauhaus 93"/>
      <family val="5"/>
    </font>
    <font>
      <b/>
      <sz val="14"/>
      <color theme="1"/>
      <name val="Calibri"/>
      <family val="2"/>
      <scheme val="minor"/>
    </font>
    <font>
      <sz val="14"/>
      <color theme="1"/>
      <name val="Arabic Typesetting"/>
      <family val="4"/>
    </font>
    <font>
      <b/>
      <sz val="14"/>
      <color theme="1"/>
      <name val="Tw Cen MT Condensed Extra Bold"/>
      <family val="2"/>
    </font>
    <font>
      <b/>
      <sz val="14"/>
      <color theme="1"/>
      <name val="Baskerville Old Face"/>
      <family val="1"/>
    </font>
    <font>
      <b/>
      <sz val="11"/>
      <color theme="1"/>
      <name val="Arial Rounded MT Bold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2" fillId="0" borderId="0" xfId="0" applyFont="1" applyAlignment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9" fillId="0" borderId="0" xfId="0" applyFont="1"/>
    <xf numFmtId="0" fontId="1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5" borderId="2" xfId="0" applyFon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8" fillId="8" borderId="1" xfId="0" applyNumberFormat="1" applyFont="1" applyFill="1" applyBorder="1" applyAlignment="1">
      <alignment horizontal="center"/>
    </xf>
    <xf numFmtId="167" fontId="12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>
      <selection activeCell="E3" sqref="E3"/>
    </sheetView>
  </sheetViews>
  <sheetFormatPr defaultRowHeight="15"/>
  <cols>
    <col min="2" max="2" width="26.7109375" customWidth="1"/>
    <col min="3" max="3" width="18.140625" customWidth="1"/>
    <col min="4" max="4" width="12.5703125" customWidth="1"/>
    <col min="5" max="5" width="16.42578125" bestFit="1" customWidth="1"/>
    <col min="6" max="6" width="15.42578125" customWidth="1"/>
    <col min="7" max="7" width="17" customWidth="1"/>
    <col min="8" max="8" width="22.28515625" customWidth="1"/>
    <col min="9" max="10" width="22.42578125" customWidth="1"/>
    <col min="11" max="11" width="19.5703125" customWidth="1"/>
    <col min="12" max="12" width="23.85546875" customWidth="1"/>
    <col min="13" max="13" width="19.5703125" bestFit="1" customWidth="1"/>
  </cols>
  <sheetData>
    <row r="1" spans="1:13" ht="33.75">
      <c r="A1" s="15" t="s">
        <v>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3.25">
      <c r="A2" s="5" t="s">
        <v>0</v>
      </c>
      <c r="B2" s="5" t="s">
        <v>3</v>
      </c>
      <c r="C2" s="5" t="s">
        <v>25</v>
      </c>
      <c r="D2" s="5" t="s">
        <v>1</v>
      </c>
      <c r="E2" s="5" t="s">
        <v>2</v>
      </c>
      <c r="F2" s="5" t="s">
        <v>4</v>
      </c>
      <c r="G2" s="5" t="s">
        <v>5</v>
      </c>
      <c r="H2" s="5" t="s">
        <v>6</v>
      </c>
      <c r="I2" s="5" t="s">
        <v>41</v>
      </c>
      <c r="J2" s="5" t="s">
        <v>67</v>
      </c>
      <c r="K2" s="5" t="s">
        <v>42</v>
      </c>
      <c r="L2" s="5" t="s">
        <v>44</v>
      </c>
      <c r="M2" s="5" t="s">
        <v>49</v>
      </c>
    </row>
    <row r="3" spans="1:13" ht="15.75">
      <c r="A3" s="2" t="s">
        <v>12</v>
      </c>
      <c r="B3" s="2" t="s">
        <v>7</v>
      </c>
      <c r="C3" s="2" t="s">
        <v>8</v>
      </c>
      <c r="D3" s="2" t="s">
        <v>9</v>
      </c>
      <c r="E3" s="2" t="s">
        <v>11</v>
      </c>
      <c r="F3" s="2">
        <v>57000</v>
      </c>
      <c r="G3" s="2" t="s">
        <v>10</v>
      </c>
      <c r="H3" s="3">
        <v>57963</v>
      </c>
      <c r="I3" s="2" t="s">
        <v>22</v>
      </c>
      <c r="J3" s="2">
        <v>9816788660</v>
      </c>
      <c r="K3" s="2" t="s">
        <v>43</v>
      </c>
      <c r="L3" s="2" t="s">
        <v>45</v>
      </c>
      <c r="M3" s="2" t="s">
        <v>50</v>
      </c>
    </row>
    <row r="4" spans="1:13" ht="15.75">
      <c r="A4" s="2" t="s">
        <v>13</v>
      </c>
      <c r="B4" s="2" t="s">
        <v>14</v>
      </c>
      <c r="C4" s="2" t="s">
        <v>15</v>
      </c>
      <c r="D4" s="2" t="s">
        <v>9</v>
      </c>
      <c r="E4" s="2" t="s">
        <v>16</v>
      </c>
      <c r="F4" s="2">
        <v>45000</v>
      </c>
      <c r="G4" s="3">
        <v>42167</v>
      </c>
      <c r="H4" s="2" t="s">
        <v>17</v>
      </c>
      <c r="I4" s="2" t="s">
        <v>23</v>
      </c>
      <c r="J4" s="2">
        <v>8705349868</v>
      </c>
      <c r="K4" s="2" t="s">
        <v>43</v>
      </c>
      <c r="L4" s="2" t="s">
        <v>46</v>
      </c>
      <c r="M4" s="2" t="s">
        <v>50</v>
      </c>
    </row>
    <row r="5" spans="1:13" ht="15.75">
      <c r="A5" s="2" t="s">
        <v>18</v>
      </c>
      <c r="B5" s="2" t="s">
        <v>19</v>
      </c>
      <c r="C5" s="2" t="s">
        <v>20</v>
      </c>
      <c r="D5" s="2" t="s">
        <v>9</v>
      </c>
      <c r="E5" s="2" t="s">
        <v>21</v>
      </c>
      <c r="F5" s="2">
        <v>62000</v>
      </c>
      <c r="G5" s="3">
        <v>36986</v>
      </c>
      <c r="H5" s="3">
        <v>49811</v>
      </c>
      <c r="I5" s="2" t="s">
        <v>24</v>
      </c>
      <c r="J5" s="2">
        <v>6550865433</v>
      </c>
      <c r="K5" s="2" t="s">
        <v>43</v>
      </c>
      <c r="L5" s="2" t="s">
        <v>48</v>
      </c>
      <c r="M5" s="2" t="s">
        <v>51</v>
      </c>
    </row>
    <row r="6" spans="1:13" ht="15.75">
      <c r="A6" s="2" t="s">
        <v>26</v>
      </c>
      <c r="B6" s="2" t="s">
        <v>27</v>
      </c>
      <c r="C6" s="2" t="s">
        <v>28</v>
      </c>
      <c r="D6" s="2" t="s">
        <v>31</v>
      </c>
      <c r="E6" s="2" t="s">
        <v>29</v>
      </c>
      <c r="F6" s="2">
        <v>50500</v>
      </c>
      <c r="G6" s="3">
        <v>44099</v>
      </c>
      <c r="H6" s="3">
        <v>59955</v>
      </c>
      <c r="I6" s="2" t="s">
        <v>30</v>
      </c>
      <c r="J6" s="2">
        <v>7543786438</v>
      </c>
      <c r="K6" s="2" t="s">
        <v>43</v>
      </c>
      <c r="L6" s="2" t="s">
        <v>47</v>
      </c>
      <c r="M6" s="2" t="s">
        <v>52</v>
      </c>
    </row>
    <row r="7" spans="1:13" ht="15.75">
      <c r="A7" s="2" t="s">
        <v>18</v>
      </c>
      <c r="B7" s="2" t="s">
        <v>32</v>
      </c>
      <c r="C7" s="2" t="s">
        <v>33</v>
      </c>
      <c r="D7" s="2" t="s">
        <v>31</v>
      </c>
      <c r="E7" s="2" t="s">
        <v>34</v>
      </c>
      <c r="F7" s="2">
        <v>78000</v>
      </c>
      <c r="G7" s="3">
        <v>39109</v>
      </c>
      <c r="H7" s="3">
        <v>51815</v>
      </c>
      <c r="I7" s="2" t="s">
        <v>35</v>
      </c>
      <c r="J7" s="2">
        <v>8466547408</v>
      </c>
      <c r="K7" s="2" t="s">
        <v>43</v>
      </c>
      <c r="L7" s="2" t="s">
        <v>48</v>
      </c>
      <c r="M7" s="2" t="s">
        <v>50</v>
      </c>
    </row>
    <row r="8" spans="1:13" ht="15.75">
      <c r="A8" s="2" t="s">
        <v>36</v>
      </c>
      <c r="B8" s="2" t="s">
        <v>37</v>
      </c>
      <c r="C8" s="2" t="s">
        <v>38</v>
      </c>
      <c r="D8" s="2" t="s">
        <v>9</v>
      </c>
      <c r="E8" s="2" t="s">
        <v>39</v>
      </c>
      <c r="F8" s="2">
        <v>75000</v>
      </c>
      <c r="G8" s="3">
        <v>42477</v>
      </c>
      <c r="H8" s="3">
        <v>55505</v>
      </c>
      <c r="I8" s="2" t="s">
        <v>40</v>
      </c>
      <c r="J8" s="2">
        <v>8906543380</v>
      </c>
      <c r="K8" s="2" t="s">
        <v>43</v>
      </c>
      <c r="L8" s="2" t="s">
        <v>48</v>
      </c>
      <c r="M8" s="2" t="s">
        <v>52</v>
      </c>
    </row>
    <row r="9" spans="1:13" ht="15.75">
      <c r="A9" s="2" t="s">
        <v>61</v>
      </c>
      <c r="B9" s="2" t="s">
        <v>62</v>
      </c>
      <c r="C9" s="2" t="s">
        <v>63</v>
      </c>
      <c r="D9" s="2" t="s">
        <v>31</v>
      </c>
      <c r="E9" s="2" t="s">
        <v>64</v>
      </c>
      <c r="F9" s="2">
        <v>95000</v>
      </c>
      <c r="G9" s="3">
        <v>39897</v>
      </c>
      <c r="H9" s="3">
        <v>52129</v>
      </c>
      <c r="I9" s="2" t="s">
        <v>65</v>
      </c>
      <c r="J9" s="2">
        <v>2356779870</v>
      </c>
      <c r="K9" s="2" t="s">
        <v>59</v>
      </c>
      <c r="L9" s="2" t="s">
        <v>45</v>
      </c>
      <c r="M9" s="2" t="s">
        <v>66</v>
      </c>
    </row>
    <row r="10" spans="1:13" ht="15.75">
      <c r="A10" s="2" t="s">
        <v>53</v>
      </c>
      <c r="B10" s="2" t="s">
        <v>54</v>
      </c>
      <c r="C10" s="2" t="s">
        <v>55</v>
      </c>
      <c r="D10" s="2" t="s">
        <v>31</v>
      </c>
      <c r="E10" s="2" t="s">
        <v>56</v>
      </c>
      <c r="F10" s="2">
        <v>105000</v>
      </c>
      <c r="G10" s="3">
        <v>43135</v>
      </c>
      <c r="H10" s="2" t="s">
        <v>57</v>
      </c>
      <c r="I10" s="2" t="s">
        <v>58</v>
      </c>
      <c r="J10" s="2">
        <v>6666606655</v>
      </c>
      <c r="K10" s="2" t="s">
        <v>59</v>
      </c>
      <c r="L10" s="2" t="s">
        <v>45</v>
      </c>
      <c r="M10" s="2" t="s">
        <v>60</v>
      </c>
    </row>
    <row r="11" spans="1:13">
      <c r="L11" s="1"/>
    </row>
    <row r="17" spans="5:5" ht="18.75">
      <c r="E17" s="4"/>
    </row>
  </sheetData>
  <mergeCells count="1">
    <mergeCell ref="A1:M1"/>
  </mergeCells>
  <dataValidations count="3">
    <dataValidation type="list" allowBlank="1" showInputMessage="1" showErrorMessage="1" sqref="E3:E10">
      <formula1>"BOKARO,RANCHI,DHANBAD,JAMUKASHMIR,GAYA JI,HYDRABAD,KOLKATA,PUNE,BANARAS,BOPAL,NEW DELHI"</formula1>
    </dataValidation>
    <dataValidation type="list" allowBlank="1" showInputMessage="1" showErrorMessage="1" sqref="K3:K10">
      <formula1>"FULL TIME,PART TIME"</formula1>
    </dataValidation>
    <dataValidation type="list" allowBlank="1" showInputMessage="1" showErrorMessage="1" sqref="D3:D10">
      <formula1>"MALE,FAMALE"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>
      <selection activeCell="C3" sqref="C3:C15"/>
    </sheetView>
  </sheetViews>
  <sheetFormatPr defaultRowHeight="15"/>
  <cols>
    <col min="1" max="1" width="13.140625" customWidth="1"/>
    <col min="2" max="2" width="31.28515625" bestFit="1" customWidth="1"/>
    <col min="3" max="3" width="16.42578125" customWidth="1"/>
    <col min="4" max="4" width="12.42578125" bestFit="1" customWidth="1"/>
    <col min="5" max="6" width="13.140625" customWidth="1"/>
    <col min="7" max="7" width="16.28515625" bestFit="1" customWidth="1"/>
    <col min="8" max="8" width="21.42578125" bestFit="1" customWidth="1"/>
    <col min="9" max="9" width="16.140625" bestFit="1" customWidth="1"/>
    <col min="10" max="10" width="14.5703125" customWidth="1"/>
    <col min="11" max="11" width="15.7109375" bestFit="1" customWidth="1"/>
    <col min="12" max="12" width="18.7109375" bestFit="1" customWidth="1"/>
    <col min="13" max="13" width="16.140625" bestFit="1" customWidth="1"/>
  </cols>
  <sheetData>
    <row r="1" spans="1:8" s="6" customFormat="1" ht="37.5">
      <c r="A1" s="17" t="s">
        <v>96</v>
      </c>
      <c r="B1" s="17"/>
      <c r="C1" s="17"/>
      <c r="D1" s="17"/>
    </row>
    <row r="2" spans="1:8" ht="15.75">
      <c r="A2" s="11" t="s">
        <v>71</v>
      </c>
      <c r="B2" s="11" t="s">
        <v>69</v>
      </c>
      <c r="C2" s="11" t="s">
        <v>70</v>
      </c>
      <c r="D2" s="11" t="s">
        <v>92</v>
      </c>
      <c r="E2" s="8"/>
    </row>
    <row r="3" spans="1:8">
      <c r="A3" s="12" t="s">
        <v>72</v>
      </c>
      <c r="B3" s="12" t="s">
        <v>73</v>
      </c>
      <c r="C3" s="18">
        <v>5000</v>
      </c>
      <c r="D3" s="12" t="s">
        <v>97</v>
      </c>
    </row>
    <row r="4" spans="1:8">
      <c r="A4" s="12" t="s">
        <v>74</v>
      </c>
      <c r="B4" s="12" t="s">
        <v>75</v>
      </c>
      <c r="C4" s="18">
        <v>3000</v>
      </c>
      <c r="D4" s="12" t="s">
        <v>98</v>
      </c>
    </row>
    <row r="5" spans="1:8">
      <c r="A5" s="12" t="s">
        <v>76</v>
      </c>
      <c r="B5" s="12" t="s">
        <v>77</v>
      </c>
      <c r="C5" s="18">
        <v>2500</v>
      </c>
      <c r="D5" s="12" t="s">
        <v>98</v>
      </c>
    </row>
    <row r="6" spans="1:8">
      <c r="A6" s="12" t="s">
        <v>78</v>
      </c>
      <c r="B6" s="12" t="s">
        <v>79</v>
      </c>
      <c r="C6" s="18">
        <v>2000</v>
      </c>
      <c r="D6" s="12" t="s">
        <v>99</v>
      </c>
    </row>
    <row r="7" spans="1:8">
      <c r="A7" s="12" t="s">
        <v>80</v>
      </c>
      <c r="B7" s="12" t="s">
        <v>81</v>
      </c>
      <c r="C7" s="18">
        <v>1500</v>
      </c>
      <c r="D7" s="12" t="s">
        <v>97</v>
      </c>
    </row>
    <row r="8" spans="1:8">
      <c r="A8" s="12" t="s">
        <v>82</v>
      </c>
      <c r="B8" s="12" t="s">
        <v>83</v>
      </c>
      <c r="C8" s="18">
        <v>1500</v>
      </c>
      <c r="D8" s="12" t="s">
        <v>100</v>
      </c>
      <c r="G8" s="7"/>
    </row>
    <row r="9" spans="1:8">
      <c r="A9" s="12" t="s">
        <v>84</v>
      </c>
      <c r="B9" s="12" t="s">
        <v>85</v>
      </c>
      <c r="C9" s="18">
        <v>1800</v>
      </c>
      <c r="D9" s="12" t="s">
        <v>98</v>
      </c>
      <c r="H9" s="9"/>
    </row>
    <row r="10" spans="1:8">
      <c r="A10" s="12" t="s">
        <v>86</v>
      </c>
      <c r="B10" s="12" t="s">
        <v>87</v>
      </c>
      <c r="C10" s="18">
        <v>1900</v>
      </c>
      <c r="D10" s="12" t="s">
        <v>97</v>
      </c>
    </row>
    <row r="11" spans="1:8">
      <c r="A11" s="12" t="s">
        <v>88</v>
      </c>
      <c r="B11" s="12" t="s">
        <v>89</v>
      </c>
      <c r="C11" s="18">
        <v>4000</v>
      </c>
      <c r="D11" s="12" t="s">
        <v>100</v>
      </c>
    </row>
    <row r="12" spans="1:8">
      <c r="A12" s="12" t="s">
        <v>90</v>
      </c>
      <c r="B12" s="12" t="s">
        <v>91</v>
      </c>
      <c r="C12" s="18">
        <v>3500</v>
      </c>
      <c r="D12" s="12" t="s">
        <v>101</v>
      </c>
    </row>
    <row r="13" spans="1:8" ht="18.75">
      <c r="B13" s="13" t="s">
        <v>93</v>
      </c>
      <c r="C13" s="19">
        <f>C3+C4+C5+C6+C7+C8+C9+C10+C11+C12</f>
        <v>26700</v>
      </c>
      <c r="D13" s="1"/>
    </row>
    <row r="14" spans="1:8" ht="18.75">
      <c r="B14" s="14" t="s">
        <v>94</v>
      </c>
      <c r="C14" s="19">
        <f>C13*18/100</f>
        <v>4806</v>
      </c>
      <c r="D14" s="1"/>
    </row>
    <row r="15" spans="1:8" ht="18.75">
      <c r="B15" s="13" t="s">
        <v>95</v>
      </c>
      <c r="C15" s="20">
        <f>C13+C14</f>
        <v>31506</v>
      </c>
    </row>
    <row r="18" spans="3:3" ht="21">
      <c r="C18" s="10"/>
    </row>
  </sheetData>
  <mergeCells count="1">
    <mergeCell ref="A1:D1"/>
  </mergeCells>
  <dataValidations count="2">
    <dataValidation type="list" allowBlank="1" showInputMessage="1" showErrorMessage="1" sqref="D3:D12">
      <formula1>"1 YEAR,1.5 YEARS,2 YEARS,2.5 YEARS,3 YEARS,3.5 YEARS,4 YEARS"</formula1>
    </dataValidation>
    <dataValidation type="list" allowBlank="1" showInputMessage="1" showErrorMessage="1" sqref="C3:C12">
      <formula1>"10000,8000,6500,5000,4500,4000,3500,3000,2500,2000,1900,1800,1600,1500"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2026-06-05T06:36:24Z</dcterms:created>
  <dcterms:modified xsi:type="dcterms:W3CDTF">2026-06-05T07:13:45Z</dcterms:modified>
</cp:coreProperties>
</file>