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excel projects\"/>
    </mc:Choice>
  </mc:AlternateContent>
  <xr:revisionPtr revIDLastSave="0" documentId="13_ncr:1_{7525D492-C073-41FB-AC98-4BE0C27A58D0}" xr6:coauthVersionLast="47" xr6:coauthVersionMax="47" xr10:uidLastSave="{00000000-0000-0000-0000-000000000000}"/>
  <bookViews>
    <workbookView xWindow="-120" yWindow="-120" windowWidth="20730" windowHeight="11160" activeTab="4" xr2:uid="{2D15EB49-6D5F-4F6D-93C9-B25EC33D13CD}"/>
  </bookViews>
  <sheets>
    <sheet name="Sheet4" sheetId="4" r:id="rId1"/>
    <sheet name="Sheet3" sheetId="3" r:id="rId2"/>
    <sheet name="MIS1" sheetId="1" r:id="rId3"/>
    <sheet name="pivotTable_and_Chart5" sheetId="5" r:id="rId4"/>
    <sheet name="Sheet2" sheetId="2" r:id="rId5"/>
  </sheets>
  <definedNames>
    <definedName name="Slicer_City">#N/A</definedName>
    <definedName name="Slicer_Products">#N/A</definedName>
  </definedNames>
  <calcPr calcId="191029"/>
  <pivotCaches>
    <pivotCache cacheId="0" r:id="rId6"/>
    <pivotCache cacheId="1" r:id="rId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2" i="1" l="1"/>
</calcChain>
</file>

<file path=xl/sharedStrings.xml><?xml version="1.0" encoding="utf-8"?>
<sst xmlns="http://schemas.openxmlformats.org/spreadsheetml/2006/main" count="133" uniqueCount="71">
  <si>
    <t>Product Id</t>
  </si>
  <si>
    <t>Sales</t>
  </si>
  <si>
    <t>City</t>
  </si>
  <si>
    <t>State</t>
  </si>
  <si>
    <t>prd01</t>
  </si>
  <si>
    <t>prd02</t>
  </si>
  <si>
    <t>prd03</t>
  </si>
  <si>
    <t>prd04</t>
  </si>
  <si>
    <t>prd05</t>
  </si>
  <si>
    <t>prd06</t>
  </si>
  <si>
    <t>prd07</t>
  </si>
  <si>
    <t>prd08</t>
  </si>
  <si>
    <t>prd09</t>
  </si>
  <si>
    <t>prd10</t>
  </si>
  <si>
    <t>Mobile</t>
  </si>
  <si>
    <t>T-shirt</t>
  </si>
  <si>
    <t>Watch</t>
  </si>
  <si>
    <t>Laptop</t>
  </si>
  <si>
    <t>Pulse</t>
  </si>
  <si>
    <t>Rice</t>
  </si>
  <si>
    <t>Oill</t>
  </si>
  <si>
    <t>Shouse</t>
  </si>
  <si>
    <t>prd11</t>
  </si>
  <si>
    <t>prd12</t>
  </si>
  <si>
    <t>Mouse</t>
  </si>
  <si>
    <t>Head phone</t>
  </si>
  <si>
    <t>Suger</t>
  </si>
  <si>
    <t>prd13</t>
  </si>
  <si>
    <t>prd14</t>
  </si>
  <si>
    <t>prd15</t>
  </si>
  <si>
    <t>prd16</t>
  </si>
  <si>
    <t>Millk</t>
  </si>
  <si>
    <t>Jeance</t>
  </si>
  <si>
    <t>Sweater</t>
  </si>
  <si>
    <t>prd17</t>
  </si>
  <si>
    <t>prd18</t>
  </si>
  <si>
    <t>Company</t>
  </si>
  <si>
    <t>L-Sabun</t>
  </si>
  <si>
    <t>Neklees</t>
  </si>
  <si>
    <t>Footweare</t>
  </si>
  <si>
    <t>Ranchi</t>
  </si>
  <si>
    <t>Patna</t>
  </si>
  <si>
    <t>Kolkata</t>
  </si>
  <si>
    <t>Gaya</t>
  </si>
  <si>
    <t>Bokaro</t>
  </si>
  <si>
    <t>JHAR</t>
  </si>
  <si>
    <t>BIHAR</t>
  </si>
  <si>
    <t>WB</t>
  </si>
  <si>
    <t>Amazone</t>
  </si>
  <si>
    <t>Meesho</t>
  </si>
  <si>
    <t>Flipkart</t>
  </si>
  <si>
    <t>Bilinkton</t>
  </si>
  <si>
    <t>Relaince_Mart</t>
  </si>
  <si>
    <t>M.I.S. EXCUTIVE REPORT</t>
  </si>
  <si>
    <t>Products</t>
  </si>
  <si>
    <t>TOTAL Sales</t>
  </si>
  <si>
    <t>Year</t>
  </si>
  <si>
    <t>Grocery</t>
  </si>
  <si>
    <t>Electronices</t>
  </si>
  <si>
    <t>Cloths</t>
  </si>
  <si>
    <t>Garments</t>
  </si>
  <si>
    <t>Row Labels</t>
  </si>
  <si>
    <t>Grand Total</t>
  </si>
  <si>
    <t>Sum of Sales</t>
  </si>
  <si>
    <t>(All)</t>
  </si>
  <si>
    <t>Sum of Grocery</t>
  </si>
  <si>
    <t>Sum of Electronices</t>
  </si>
  <si>
    <t>Sum of Cloths</t>
  </si>
  <si>
    <t>Sum of Jewellaery</t>
  </si>
  <si>
    <t>Sum of Garments</t>
  </si>
  <si>
    <t>Jewellery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</si>
</sst>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8" x14ac:knownFonts="1">
    <font>
      <sz val="11"/>
      <color theme="1"/>
      <name val="Calibri"/>
      <family val="2"/>
      <scheme val="minor"/>
    </font>
    <font>
      <b/>
      <sz val="14"/>
      <color theme="0"/>
      <name val="Adobe Garamond Pro"/>
      <family val="1"/>
    </font>
    <font>
      <sz val="8"/>
      <name val="Calibri"/>
      <family val="2"/>
      <scheme val="minor"/>
    </font>
    <font>
      <sz val="16"/>
      <color theme="0"/>
      <name val="Adobe Garamond Pro"/>
      <family val="1"/>
    </font>
    <font>
      <b/>
      <sz val="16"/>
      <color theme="0"/>
      <name val="Adobe Garamond Pro"/>
      <family val="1"/>
    </font>
    <font>
      <b/>
      <sz val="11"/>
      <color theme="1"/>
      <name val="Calibri"/>
      <family val="2"/>
      <scheme val="minor"/>
    </font>
    <font>
      <b/>
      <sz val="14"/>
      <color theme="0"/>
      <name val="Calibri"/>
      <family val="2"/>
      <scheme val="minor"/>
    </font>
    <font>
      <sz val="12"/>
      <color rgb="FF002060"/>
      <name val="Calibri"/>
      <family val="2"/>
      <scheme val="minor"/>
    </font>
  </fonts>
  <fills count="7">
    <fill>
      <patternFill patternType="none"/>
    </fill>
    <fill>
      <patternFill patternType="gray125"/>
    </fill>
    <fill>
      <patternFill patternType="solid">
        <fgColor rgb="FF00B0F0"/>
        <bgColor indexed="64"/>
      </patternFill>
    </fill>
    <fill>
      <patternFill patternType="solid">
        <fgColor rgb="FF7030A0"/>
        <bgColor indexed="64"/>
      </patternFill>
    </fill>
    <fill>
      <patternFill patternType="solid">
        <fgColor rgb="FFFFC000"/>
        <bgColor indexed="64"/>
      </patternFill>
    </fill>
    <fill>
      <patternFill patternType="solid">
        <fgColor theme="1"/>
        <bgColor indexed="64"/>
      </patternFill>
    </fill>
    <fill>
      <patternFill patternType="solid">
        <fgColor theme="8" tint="0.79998168889431442"/>
        <bgColor indexed="64"/>
      </patternFill>
    </fill>
  </fills>
  <borders count="1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9">
    <xf numFmtId="0" fontId="0" fillId="0" borderId="0" xfId="0"/>
    <xf numFmtId="0" fontId="1" fillId="2" borderId="5" xfId="0" applyFont="1" applyFill="1" applyBorder="1"/>
    <xf numFmtId="0" fontId="1" fillId="2" borderId="6" xfId="0" applyFont="1" applyFill="1" applyBorder="1"/>
    <xf numFmtId="0" fontId="1" fillId="2" borderId="7" xfId="0" applyFont="1" applyFill="1" applyBorder="1"/>
    <xf numFmtId="0" fontId="5" fillId="0" borderId="2" xfId="0" applyFont="1" applyBorder="1"/>
    <xf numFmtId="0" fontId="5" fillId="0" borderId="0" xfId="0" applyFont="1"/>
    <xf numFmtId="164" fontId="5" fillId="0" borderId="2" xfId="0" applyNumberFormat="1" applyFont="1" applyBorder="1"/>
    <xf numFmtId="0" fontId="0" fillId="0" borderId="3" xfId="0" applyBorder="1" applyAlignment="1">
      <alignment horizontal="center"/>
    </xf>
    <xf numFmtId="0" fontId="0" fillId="0" borderId="2" xfId="0" applyBorder="1" applyAlignment="1">
      <alignment horizontal="center"/>
    </xf>
    <xf numFmtId="164" fontId="0" fillId="0" borderId="2" xfId="0" applyNumberFormat="1" applyBorder="1" applyAlignment="1">
      <alignment horizontal="center"/>
    </xf>
    <xf numFmtId="0" fontId="0" fillId="0" borderId="4"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164" fontId="0" fillId="0" borderId="9" xfId="0" applyNumberFormat="1" applyBorder="1" applyAlignment="1">
      <alignment horizontal="center"/>
    </xf>
    <xf numFmtId="0" fontId="0" fillId="0" borderId="10" xfId="0" applyBorder="1" applyAlignment="1">
      <alignment horizontal="center"/>
    </xf>
    <xf numFmtId="0" fontId="0" fillId="0" borderId="0" xfId="0" pivotButton="1"/>
    <xf numFmtId="0" fontId="0" fillId="0" borderId="0" xfId="0" applyAlignment="1">
      <alignment horizontal="left"/>
    </xf>
    <xf numFmtId="0" fontId="0" fillId="0" borderId="2" xfId="0" applyBorder="1"/>
    <xf numFmtId="0" fontId="0" fillId="0" borderId="0" xfId="0" applyAlignment="1">
      <alignment horizontal="center"/>
    </xf>
    <xf numFmtId="0" fontId="4" fillId="3" borderId="1" xfId="0" applyFont="1" applyFill="1" applyBorder="1" applyAlignment="1">
      <alignment horizontal="center"/>
    </xf>
    <xf numFmtId="0" fontId="3" fillId="3" borderId="1" xfId="0" applyFont="1" applyFill="1" applyBorder="1" applyAlignment="1">
      <alignment horizontal="center"/>
    </xf>
    <xf numFmtId="0" fontId="7" fillId="6" borderId="2" xfId="0" applyFont="1" applyFill="1" applyBorder="1"/>
    <xf numFmtId="0" fontId="7" fillId="6" borderId="2" xfId="0" applyFont="1" applyFill="1" applyBorder="1" applyAlignment="1">
      <alignment horizontal="left"/>
    </xf>
    <xf numFmtId="0" fontId="7" fillId="6" borderId="2" xfId="0" applyFont="1" applyFill="1" applyBorder="1" applyAlignment="1">
      <alignment horizontal="left" indent="1"/>
    </xf>
    <xf numFmtId="164" fontId="0" fillId="0" borderId="4" xfId="0" applyNumberFormat="1" applyBorder="1" applyAlignment="1">
      <alignment horizontal="center"/>
    </xf>
    <xf numFmtId="0" fontId="6" fillId="4" borderId="5" xfId="0" applyFont="1" applyFill="1" applyBorder="1" applyAlignment="1">
      <alignment horizontal="center"/>
    </xf>
    <xf numFmtId="0" fontId="6" fillId="5" borderId="6" xfId="0" applyFont="1" applyFill="1" applyBorder="1" applyAlignment="1">
      <alignment horizontal="center"/>
    </xf>
    <xf numFmtId="0" fontId="6" fillId="5" borderId="7" xfId="0" applyFont="1" applyFill="1" applyBorder="1" applyAlignment="1">
      <alignment horizontal="center"/>
    </xf>
    <xf numFmtId="164" fontId="0" fillId="0" borderId="10" xfId="0" applyNumberFormat="1" applyBorder="1" applyAlignment="1">
      <alignment horizontal="center"/>
    </xf>
  </cellXfs>
  <cellStyles count="1">
    <cellStyle name="Normal" xfId="0" builtinId="0"/>
  </cellStyles>
  <dxfs count="82">
    <dxf>
      <font>
        <b/>
        <i val="0"/>
        <strike val="0"/>
        <condense val="0"/>
        <extend val="0"/>
        <outline val="0"/>
        <shadow val="0"/>
        <u val="none"/>
        <vertAlign val="baseline"/>
        <sz val="14"/>
        <color theme="0"/>
        <name val="Calibri"/>
        <family val="2"/>
        <scheme val="minor"/>
      </font>
      <fill>
        <patternFill patternType="solid">
          <fgColor indexed="64"/>
          <bgColor theme="1"/>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4" formatCode="&quot;₹&quot;\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quot;\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quot;\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quot;\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 #,##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0"/>
        <name val="Adobe Garamond Pro"/>
        <family val="1"/>
        <scheme val="none"/>
      </font>
      <fill>
        <patternFill patternType="solid">
          <fgColor indexed="64"/>
          <bgColor rgb="FF00B0F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[MIS_project.xlsx]Sheet3!PivotTable1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Sheet3!$A$5:$A$22</c:f>
              <c:multiLvlStrCache>
                <c:ptCount val="12"/>
                <c:lvl>
                  <c:pt idx="0">
                    <c:v>Patna</c:v>
                  </c:pt>
                  <c:pt idx="1">
                    <c:v>Ranchi</c:v>
                  </c:pt>
                  <c:pt idx="2">
                    <c:v>Gaya</c:v>
                  </c:pt>
                  <c:pt idx="3">
                    <c:v>Kolkata</c:v>
                  </c:pt>
                  <c:pt idx="4">
                    <c:v>Gaya</c:v>
                  </c:pt>
                  <c:pt idx="5">
                    <c:v>Ranchi</c:v>
                  </c:pt>
                  <c:pt idx="6">
                    <c:v>Bokaro</c:v>
                  </c:pt>
                  <c:pt idx="7">
                    <c:v>Kolkata</c:v>
                  </c:pt>
                  <c:pt idx="8">
                    <c:v>Bokaro</c:v>
                  </c:pt>
                  <c:pt idx="9">
                    <c:v>Kolkata</c:v>
                  </c:pt>
                  <c:pt idx="10">
                    <c:v>Patna</c:v>
                  </c:pt>
                  <c:pt idx="11">
                    <c:v>Ranchi</c:v>
                  </c:pt>
                </c:lvl>
                <c:lvl>
                  <c:pt idx="0">
                    <c:v>Amazone</c:v>
                  </c:pt>
                  <c:pt idx="2">
                    <c:v>Bilinkton</c:v>
                  </c:pt>
                  <c:pt idx="4">
                    <c:v>Flipkart</c:v>
                  </c:pt>
                  <c:pt idx="6">
                    <c:v>Meesho</c:v>
                  </c:pt>
                  <c:pt idx="8">
                    <c:v>Relaince_Mart</c:v>
                  </c:pt>
                </c:lvl>
              </c:multiLvlStrCache>
            </c:multiLvlStrRef>
          </c:cat>
          <c:val>
            <c:numRef>
              <c:f>Sheet3!$B$5:$B$22</c:f>
              <c:numCache>
                <c:formatCode>General</c:formatCode>
                <c:ptCount val="12"/>
                <c:pt idx="0">
                  <c:v>46500</c:v>
                </c:pt>
                <c:pt idx="1">
                  <c:v>15620</c:v>
                </c:pt>
                <c:pt idx="2">
                  <c:v>70</c:v>
                </c:pt>
                <c:pt idx="3">
                  <c:v>150</c:v>
                </c:pt>
                <c:pt idx="4">
                  <c:v>779</c:v>
                </c:pt>
                <c:pt idx="5">
                  <c:v>82150</c:v>
                </c:pt>
                <c:pt idx="6">
                  <c:v>699</c:v>
                </c:pt>
                <c:pt idx="7">
                  <c:v>1200</c:v>
                </c:pt>
                <c:pt idx="8">
                  <c:v>450</c:v>
                </c:pt>
                <c:pt idx="9">
                  <c:v>60</c:v>
                </c:pt>
                <c:pt idx="10">
                  <c:v>150</c:v>
                </c:pt>
                <c:pt idx="11">
                  <c:v>55</c:v>
                </c:pt>
              </c:numCache>
            </c:numRef>
          </c:val>
          <c:extLst>
            <c:ext xmlns:c16="http://schemas.microsoft.com/office/drawing/2014/chart" uri="{C3380CC4-5D6E-409C-BE32-E72D297353CC}">
              <c16:uniqueId val="{00000002-0BD1-4D5B-90ED-3488810867FB}"/>
            </c:ext>
          </c:extLst>
        </c:ser>
        <c:dLbls>
          <c:dLblPos val="inEnd"/>
          <c:showLegendKey val="0"/>
          <c:showVal val="1"/>
          <c:showCatName val="0"/>
          <c:showSerName val="0"/>
          <c:showPercent val="0"/>
          <c:showBubbleSize val="0"/>
        </c:dLbls>
        <c:gapWidth val="100"/>
        <c:overlap val="-24"/>
        <c:axId val="418125056"/>
        <c:axId val="418127352"/>
      </c:barChart>
      <c:catAx>
        <c:axId val="4181250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8127352"/>
        <c:crosses val="autoZero"/>
        <c:auto val="1"/>
        <c:lblAlgn val="ctr"/>
        <c:lblOffset val="100"/>
        <c:noMultiLvlLbl val="0"/>
      </c:catAx>
      <c:valAx>
        <c:axId val="4181273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812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[MIS_project.xlsx]pivotTable_and_Chart5!PivotTable1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pivotTable_and_Chart5!$B$3</c:f>
              <c:strCache>
                <c:ptCount val="1"/>
                <c:pt idx="0">
                  <c:v>Sum of Grocery</c:v>
                </c:pt>
              </c:strCache>
            </c:strRef>
          </c:tx>
          <c:spPr>
            <a:solidFill>
              <a:schemeClr val="accent1"/>
            </a:solidFill>
            <a:ln>
              <a:noFill/>
            </a:ln>
            <a:effectLst/>
            <a:sp3d/>
          </c:spPr>
          <c:invertIfNegative val="0"/>
          <c:cat>
            <c:strRef>
              <c:f>pivotTable_and_Chart5!$A$4:$A$13</c:f>
              <c:strCache>
                <c:ptCount val="9"/>
                <c:pt idx="0">
                  <c:v>2017</c:v>
                </c:pt>
                <c:pt idx="1">
                  <c:v>2018</c:v>
                </c:pt>
                <c:pt idx="2">
                  <c:v>2019</c:v>
                </c:pt>
                <c:pt idx="3">
                  <c:v>2020</c:v>
                </c:pt>
                <c:pt idx="4">
                  <c:v>2021</c:v>
                </c:pt>
                <c:pt idx="5">
                  <c:v>2022</c:v>
                </c:pt>
                <c:pt idx="6">
                  <c:v>2023</c:v>
                </c:pt>
                <c:pt idx="7">
                  <c:v>2024</c:v>
                </c:pt>
                <c:pt idx="8">
                  <c:v>2025</c:v>
                </c:pt>
              </c:strCache>
            </c:strRef>
          </c:cat>
          <c:val>
            <c:numRef>
              <c:f>pivotTable_and_Chart5!$B$4:$B$13</c:f>
              <c:numCache>
                <c:formatCode>General</c:formatCode>
                <c:ptCount val="9"/>
                <c:pt idx="0">
                  <c:v>560000</c:v>
                </c:pt>
                <c:pt idx="1">
                  <c:v>250050</c:v>
                </c:pt>
                <c:pt idx="2">
                  <c:v>150050</c:v>
                </c:pt>
                <c:pt idx="3">
                  <c:v>87050</c:v>
                </c:pt>
                <c:pt idx="4">
                  <c:v>56800</c:v>
                </c:pt>
                <c:pt idx="5">
                  <c:v>34700</c:v>
                </c:pt>
                <c:pt idx="6">
                  <c:v>32390</c:v>
                </c:pt>
                <c:pt idx="7">
                  <c:v>42100</c:v>
                </c:pt>
                <c:pt idx="8">
                  <c:v>21000</c:v>
                </c:pt>
              </c:numCache>
            </c:numRef>
          </c:val>
          <c:extLst>
            <c:ext xmlns:c16="http://schemas.microsoft.com/office/drawing/2014/chart" uri="{C3380CC4-5D6E-409C-BE32-E72D297353CC}">
              <c16:uniqueId val="{00000000-8F28-4CA3-8066-96C64BE08E7F}"/>
            </c:ext>
          </c:extLst>
        </c:ser>
        <c:ser>
          <c:idx val="1"/>
          <c:order val="1"/>
          <c:tx>
            <c:strRef>
              <c:f>pivotTable_and_Chart5!$C$3</c:f>
              <c:strCache>
                <c:ptCount val="1"/>
                <c:pt idx="0">
                  <c:v>Sum of Electronices</c:v>
                </c:pt>
              </c:strCache>
            </c:strRef>
          </c:tx>
          <c:spPr>
            <a:solidFill>
              <a:schemeClr val="accent2"/>
            </a:solidFill>
            <a:ln>
              <a:noFill/>
            </a:ln>
            <a:effectLst/>
            <a:sp3d/>
          </c:spPr>
          <c:invertIfNegative val="0"/>
          <c:cat>
            <c:strRef>
              <c:f>pivotTable_and_Chart5!$A$4:$A$13</c:f>
              <c:strCache>
                <c:ptCount val="9"/>
                <c:pt idx="0">
                  <c:v>2017</c:v>
                </c:pt>
                <c:pt idx="1">
                  <c:v>2018</c:v>
                </c:pt>
                <c:pt idx="2">
                  <c:v>2019</c:v>
                </c:pt>
                <c:pt idx="3">
                  <c:v>2020</c:v>
                </c:pt>
                <c:pt idx="4">
                  <c:v>2021</c:v>
                </c:pt>
                <c:pt idx="5">
                  <c:v>2022</c:v>
                </c:pt>
                <c:pt idx="6">
                  <c:v>2023</c:v>
                </c:pt>
                <c:pt idx="7">
                  <c:v>2024</c:v>
                </c:pt>
                <c:pt idx="8">
                  <c:v>2025</c:v>
                </c:pt>
              </c:strCache>
            </c:strRef>
          </c:cat>
          <c:val>
            <c:numRef>
              <c:f>pivotTable_and_Chart5!$C$4:$C$13</c:f>
              <c:numCache>
                <c:formatCode>General</c:formatCode>
                <c:ptCount val="9"/>
                <c:pt idx="0">
                  <c:v>145000</c:v>
                </c:pt>
                <c:pt idx="1">
                  <c:v>56000</c:v>
                </c:pt>
                <c:pt idx="2">
                  <c:v>34500</c:v>
                </c:pt>
                <c:pt idx="3">
                  <c:v>23345</c:v>
                </c:pt>
                <c:pt idx="4">
                  <c:v>9800</c:v>
                </c:pt>
                <c:pt idx="5">
                  <c:v>7500</c:v>
                </c:pt>
                <c:pt idx="6">
                  <c:v>1600</c:v>
                </c:pt>
                <c:pt idx="7">
                  <c:v>26500</c:v>
                </c:pt>
                <c:pt idx="8">
                  <c:v>35000</c:v>
                </c:pt>
              </c:numCache>
            </c:numRef>
          </c:val>
          <c:extLst>
            <c:ext xmlns:c16="http://schemas.microsoft.com/office/drawing/2014/chart" uri="{C3380CC4-5D6E-409C-BE32-E72D297353CC}">
              <c16:uniqueId val="{00000001-8F28-4CA3-8066-96C64BE08E7F}"/>
            </c:ext>
          </c:extLst>
        </c:ser>
        <c:ser>
          <c:idx val="2"/>
          <c:order val="2"/>
          <c:tx>
            <c:strRef>
              <c:f>pivotTable_and_Chart5!$D$3</c:f>
              <c:strCache>
                <c:ptCount val="1"/>
                <c:pt idx="0">
                  <c:v>Sum of Cloths</c:v>
                </c:pt>
              </c:strCache>
            </c:strRef>
          </c:tx>
          <c:spPr>
            <a:solidFill>
              <a:schemeClr val="accent3"/>
            </a:solidFill>
            <a:ln>
              <a:noFill/>
            </a:ln>
            <a:effectLst/>
            <a:sp3d/>
          </c:spPr>
          <c:invertIfNegative val="0"/>
          <c:cat>
            <c:strRef>
              <c:f>pivotTable_and_Chart5!$A$4:$A$13</c:f>
              <c:strCache>
                <c:ptCount val="9"/>
                <c:pt idx="0">
                  <c:v>2017</c:v>
                </c:pt>
                <c:pt idx="1">
                  <c:v>2018</c:v>
                </c:pt>
                <c:pt idx="2">
                  <c:v>2019</c:v>
                </c:pt>
                <c:pt idx="3">
                  <c:v>2020</c:v>
                </c:pt>
                <c:pt idx="4">
                  <c:v>2021</c:v>
                </c:pt>
                <c:pt idx="5">
                  <c:v>2022</c:v>
                </c:pt>
                <c:pt idx="6">
                  <c:v>2023</c:v>
                </c:pt>
                <c:pt idx="7">
                  <c:v>2024</c:v>
                </c:pt>
                <c:pt idx="8">
                  <c:v>2025</c:v>
                </c:pt>
              </c:strCache>
            </c:strRef>
          </c:cat>
          <c:val>
            <c:numRef>
              <c:f>pivotTable_and_Chart5!$D$4:$D$13</c:f>
              <c:numCache>
                <c:formatCode>General</c:formatCode>
                <c:ptCount val="9"/>
                <c:pt idx="0">
                  <c:v>45000</c:v>
                </c:pt>
                <c:pt idx="1">
                  <c:v>8050</c:v>
                </c:pt>
                <c:pt idx="2">
                  <c:v>9000</c:v>
                </c:pt>
                <c:pt idx="3">
                  <c:v>1899</c:v>
                </c:pt>
                <c:pt idx="4">
                  <c:v>23000</c:v>
                </c:pt>
                <c:pt idx="5">
                  <c:v>78005</c:v>
                </c:pt>
                <c:pt idx="6">
                  <c:v>5600</c:v>
                </c:pt>
                <c:pt idx="7">
                  <c:v>76000</c:v>
                </c:pt>
                <c:pt idx="8">
                  <c:v>950</c:v>
                </c:pt>
              </c:numCache>
            </c:numRef>
          </c:val>
          <c:extLst>
            <c:ext xmlns:c16="http://schemas.microsoft.com/office/drawing/2014/chart" uri="{C3380CC4-5D6E-409C-BE32-E72D297353CC}">
              <c16:uniqueId val="{00000002-8F28-4CA3-8066-96C64BE08E7F}"/>
            </c:ext>
          </c:extLst>
        </c:ser>
        <c:ser>
          <c:idx val="3"/>
          <c:order val="3"/>
          <c:tx>
            <c:strRef>
              <c:f>pivotTable_and_Chart5!$E$3</c:f>
              <c:strCache>
                <c:ptCount val="1"/>
                <c:pt idx="0">
                  <c:v>Sum of Jewellaery</c:v>
                </c:pt>
              </c:strCache>
            </c:strRef>
          </c:tx>
          <c:spPr>
            <a:solidFill>
              <a:schemeClr val="accent4"/>
            </a:solidFill>
            <a:ln>
              <a:noFill/>
            </a:ln>
            <a:effectLst/>
            <a:sp3d/>
          </c:spPr>
          <c:invertIfNegative val="0"/>
          <c:cat>
            <c:strRef>
              <c:f>pivotTable_and_Chart5!$A$4:$A$13</c:f>
              <c:strCache>
                <c:ptCount val="9"/>
                <c:pt idx="0">
                  <c:v>2017</c:v>
                </c:pt>
                <c:pt idx="1">
                  <c:v>2018</c:v>
                </c:pt>
                <c:pt idx="2">
                  <c:v>2019</c:v>
                </c:pt>
                <c:pt idx="3">
                  <c:v>2020</c:v>
                </c:pt>
                <c:pt idx="4">
                  <c:v>2021</c:v>
                </c:pt>
                <c:pt idx="5">
                  <c:v>2022</c:v>
                </c:pt>
                <c:pt idx="6">
                  <c:v>2023</c:v>
                </c:pt>
                <c:pt idx="7">
                  <c:v>2024</c:v>
                </c:pt>
                <c:pt idx="8">
                  <c:v>2025</c:v>
                </c:pt>
              </c:strCache>
            </c:strRef>
          </c:cat>
          <c:val>
            <c:numRef>
              <c:f>pivotTable_and_Chart5!$E$4:$E$13</c:f>
              <c:numCache>
                <c:formatCode>General</c:formatCode>
                <c:ptCount val="9"/>
                <c:pt idx="0">
                  <c:v>24500</c:v>
                </c:pt>
                <c:pt idx="1">
                  <c:v>7800</c:v>
                </c:pt>
                <c:pt idx="2">
                  <c:v>100500</c:v>
                </c:pt>
                <c:pt idx="3">
                  <c:v>50600</c:v>
                </c:pt>
                <c:pt idx="4">
                  <c:v>5600</c:v>
                </c:pt>
                <c:pt idx="5">
                  <c:v>4800</c:v>
                </c:pt>
                <c:pt idx="6">
                  <c:v>1500</c:v>
                </c:pt>
                <c:pt idx="7">
                  <c:v>1890</c:v>
                </c:pt>
                <c:pt idx="8">
                  <c:v>460</c:v>
                </c:pt>
              </c:numCache>
            </c:numRef>
          </c:val>
          <c:extLst>
            <c:ext xmlns:c16="http://schemas.microsoft.com/office/drawing/2014/chart" uri="{C3380CC4-5D6E-409C-BE32-E72D297353CC}">
              <c16:uniqueId val="{00000003-8F28-4CA3-8066-96C64BE08E7F}"/>
            </c:ext>
          </c:extLst>
        </c:ser>
        <c:ser>
          <c:idx val="4"/>
          <c:order val="4"/>
          <c:tx>
            <c:strRef>
              <c:f>pivotTable_and_Chart5!$F$3</c:f>
              <c:strCache>
                <c:ptCount val="1"/>
                <c:pt idx="0">
                  <c:v>Sum of Garments</c:v>
                </c:pt>
              </c:strCache>
            </c:strRef>
          </c:tx>
          <c:spPr>
            <a:solidFill>
              <a:schemeClr val="accent5"/>
            </a:solidFill>
            <a:ln>
              <a:noFill/>
            </a:ln>
            <a:effectLst/>
            <a:sp3d/>
          </c:spPr>
          <c:invertIfNegative val="0"/>
          <c:cat>
            <c:strRef>
              <c:f>pivotTable_and_Chart5!$A$4:$A$13</c:f>
              <c:strCache>
                <c:ptCount val="9"/>
                <c:pt idx="0">
                  <c:v>2017</c:v>
                </c:pt>
                <c:pt idx="1">
                  <c:v>2018</c:v>
                </c:pt>
                <c:pt idx="2">
                  <c:v>2019</c:v>
                </c:pt>
                <c:pt idx="3">
                  <c:v>2020</c:v>
                </c:pt>
                <c:pt idx="4">
                  <c:v>2021</c:v>
                </c:pt>
                <c:pt idx="5">
                  <c:v>2022</c:v>
                </c:pt>
                <c:pt idx="6">
                  <c:v>2023</c:v>
                </c:pt>
                <c:pt idx="7">
                  <c:v>2024</c:v>
                </c:pt>
                <c:pt idx="8">
                  <c:v>2025</c:v>
                </c:pt>
              </c:strCache>
            </c:strRef>
          </c:cat>
          <c:val>
            <c:numRef>
              <c:f>pivotTable_and_Chart5!$F$4:$F$13</c:f>
              <c:numCache>
                <c:formatCode>General</c:formatCode>
                <c:ptCount val="9"/>
                <c:pt idx="0">
                  <c:v>25000</c:v>
                </c:pt>
                <c:pt idx="1">
                  <c:v>20500</c:v>
                </c:pt>
                <c:pt idx="2">
                  <c:v>504000</c:v>
                </c:pt>
                <c:pt idx="3">
                  <c:v>680</c:v>
                </c:pt>
                <c:pt idx="4">
                  <c:v>3499</c:v>
                </c:pt>
                <c:pt idx="5">
                  <c:v>2700</c:v>
                </c:pt>
                <c:pt idx="6">
                  <c:v>20700</c:v>
                </c:pt>
                <c:pt idx="7">
                  <c:v>89000</c:v>
                </c:pt>
                <c:pt idx="8">
                  <c:v>3700</c:v>
                </c:pt>
              </c:numCache>
            </c:numRef>
          </c:val>
          <c:extLst>
            <c:ext xmlns:c16="http://schemas.microsoft.com/office/drawing/2014/chart" uri="{C3380CC4-5D6E-409C-BE32-E72D297353CC}">
              <c16:uniqueId val="{00000004-8F28-4CA3-8066-96C64BE08E7F}"/>
            </c:ext>
          </c:extLst>
        </c:ser>
        <c:dLbls>
          <c:showLegendKey val="0"/>
          <c:showVal val="0"/>
          <c:showCatName val="0"/>
          <c:showSerName val="0"/>
          <c:showPercent val="0"/>
          <c:showBubbleSize val="0"/>
        </c:dLbls>
        <c:gapWidth val="150"/>
        <c:shape val="box"/>
        <c:axId val="452502392"/>
        <c:axId val="452497472"/>
        <c:axId val="0"/>
      </c:bar3DChart>
      <c:catAx>
        <c:axId val="452502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497472"/>
        <c:crosses val="autoZero"/>
        <c:auto val="1"/>
        <c:lblAlgn val="ctr"/>
        <c:lblOffset val="100"/>
        <c:noMultiLvlLbl val="0"/>
      </c:catAx>
      <c:valAx>
        <c:axId val="45249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502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428625</xdr:colOff>
      <xdr:row>0</xdr:row>
      <xdr:rowOff>180975</xdr:rowOff>
    </xdr:from>
    <xdr:to>
      <xdr:col>11</xdr:col>
      <xdr:colOff>228600</xdr:colOff>
      <xdr:row>24</xdr:row>
      <xdr:rowOff>161925</xdr:rowOff>
    </xdr:to>
    <xdr:graphicFrame macro="">
      <xdr:nvGraphicFramePr>
        <xdr:cNvPr id="2" name="Chart 1">
          <a:extLst>
            <a:ext uri="{FF2B5EF4-FFF2-40B4-BE49-F238E27FC236}">
              <a16:creationId xmlns:a16="http://schemas.microsoft.com/office/drawing/2014/main" id="{A80B43A5-F33B-48AC-AF43-FCCBBBB57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561975</xdr:colOff>
      <xdr:row>2</xdr:row>
      <xdr:rowOff>28575</xdr:rowOff>
    </xdr:from>
    <xdr:to>
      <xdr:col>12</xdr:col>
      <xdr:colOff>561975</xdr:colOff>
      <xdr:row>15</xdr:row>
      <xdr:rowOff>9525</xdr:rowOff>
    </xdr:to>
    <mc:AlternateContent xmlns:mc="http://schemas.openxmlformats.org/markup-compatibility/2006" xmlns:sle15="http://schemas.microsoft.com/office/drawing/2012/slicer">
      <mc:Choice Requires="sle15">
        <xdr:graphicFrame macro="">
          <xdr:nvGraphicFramePr>
            <xdr:cNvPr id="2" name="Products">
              <a:extLst>
                <a:ext uri="{FF2B5EF4-FFF2-40B4-BE49-F238E27FC236}">
                  <a16:creationId xmlns:a16="http://schemas.microsoft.com/office/drawing/2014/main" id="{0876773F-AF25-43FE-800E-4D968ED68F78}"/>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7200900" y="495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514350</xdr:colOff>
      <xdr:row>2</xdr:row>
      <xdr:rowOff>47625</xdr:rowOff>
    </xdr:from>
    <xdr:to>
      <xdr:col>9</xdr:col>
      <xdr:colOff>514350</xdr:colOff>
      <xdr:row>15</xdr:row>
      <xdr:rowOff>28575</xdr:rowOff>
    </xdr:to>
    <mc:AlternateContent xmlns:mc="http://schemas.openxmlformats.org/markup-compatibility/2006" xmlns:sle15="http://schemas.microsoft.com/office/drawing/2012/slicer">
      <mc:Choice Requires="sle15">
        <xdr:graphicFrame macro="">
          <xdr:nvGraphicFramePr>
            <xdr:cNvPr id="3" name="City">
              <a:extLst>
                <a:ext uri="{FF2B5EF4-FFF2-40B4-BE49-F238E27FC236}">
                  <a16:creationId xmlns:a16="http://schemas.microsoft.com/office/drawing/2014/main" id="{ABE87FC3-181B-4659-84DC-95A24742B38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324475" y="514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28576</xdr:colOff>
      <xdr:row>1</xdr:row>
      <xdr:rowOff>38100</xdr:rowOff>
    </xdr:from>
    <xdr:to>
      <xdr:col>16</xdr:col>
      <xdr:colOff>219075</xdr:colOff>
      <xdr:row>22</xdr:row>
      <xdr:rowOff>180975</xdr:rowOff>
    </xdr:to>
    <xdr:graphicFrame macro="">
      <xdr:nvGraphicFramePr>
        <xdr:cNvPr id="2" name="Chart 1">
          <a:extLst>
            <a:ext uri="{FF2B5EF4-FFF2-40B4-BE49-F238E27FC236}">
              <a16:creationId xmlns:a16="http://schemas.microsoft.com/office/drawing/2014/main" id="{9E76D2DD-E172-41E5-B6BB-5DF37F506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lo" refreshedDate="46289.928700694443" createdVersion="7" refreshedVersion="7" minRefreshableVersion="3" recordCount="18" xr:uid="{A325E653-775C-4EE0-B841-6329F5BA7F43}">
  <cacheSource type="worksheet">
    <worksheetSource name="Table1"/>
  </cacheSource>
  <cacheFields count="6">
    <cacheField name="Product Id" numFmtId="0">
      <sharedItems/>
    </cacheField>
    <cacheField name="Products" numFmtId="0">
      <sharedItems count="17">
        <s v="Mobile"/>
        <s v="L-Sabun"/>
        <s v="T-shirt"/>
        <s v="Watch"/>
        <s v="Neklees"/>
        <s v="Millk"/>
        <s v="Laptop"/>
        <s v="Pulse"/>
        <s v="Rice"/>
        <s v="Oill"/>
        <s v="Shouse"/>
        <s v="Mouse"/>
        <s v="Footweare"/>
        <s v="Head phone"/>
        <s v="Suger"/>
        <s v="Jeance"/>
        <s v="Sweater"/>
      </sharedItems>
    </cacheField>
    <cacheField name="Sales" numFmtId="164">
      <sharedItems containsSemiMixedTypes="0" containsString="0" containsNumber="1" containsInteger="1" minValue="55" maxValue="79900"/>
    </cacheField>
    <cacheField name="City" numFmtId="0">
      <sharedItems count="5">
        <s v="Ranchi"/>
        <s v="Patna"/>
        <s v="Kolkata"/>
        <s v="Gaya"/>
        <s v="Bokaro"/>
      </sharedItems>
    </cacheField>
    <cacheField name="State" numFmtId="0">
      <sharedItems count="3">
        <s v="JHAR"/>
        <s v="BIHAR"/>
        <s v="WB"/>
      </sharedItems>
    </cacheField>
    <cacheField name="Company" numFmtId="0">
      <sharedItems count="5">
        <s v="Amazone"/>
        <s v="Relaince_Mart"/>
        <s v="Meesho"/>
        <s v="Flipkart"/>
        <s v="Bilinkton"/>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lo" refreshedDate="46289.92635011574" createdVersion="7" refreshedVersion="7" minRefreshableVersion="3" recordCount="9" xr:uid="{35AC98E6-61CE-4691-86FD-31F33695BE97}">
  <cacheSource type="worksheet">
    <worksheetSource ref="A3:F12" sheet="Sheet2"/>
  </cacheSource>
  <cacheFields count="6">
    <cacheField name="Year" numFmtId="0">
      <sharedItems containsSemiMixedTypes="0" containsString="0" containsNumber="1" containsInteger="1" minValue="2017" maxValue="2025" count="9">
        <n v="2017"/>
        <n v="2018"/>
        <n v="2019"/>
        <n v="2020"/>
        <n v="2021"/>
        <n v="2022"/>
        <n v="2023"/>
        <n v="2024"/>
        <n v="2025"/>
      </sharedItems>
    </cacheField>
    <cacheField name="Grocery" numFmtId="164">
      <sharedItems containsSemiMixedTypes="0" containsString="0" containsNumber="1" containsInteger="1" minValue="21000" maxValue="560000"/>
    </cacheField>
    <cacheField name="Electronices" numFmtId="164">
      <sharedItems containsSemiMixedTypes="0" containsString="0" containsNumber="1" containsInteger="1" minValue="1600" maxValue="145000"/>
    </cacheField>
    <cacheField name="Cloths" numFmtId="164">
      <sharedItems containsSemiMixedTypes="0" containsString="0" containsNumber="1" containsInteger="1" minValue="950" maxValue="78005"/>
    </cacheField>
    <cacheField name="Jewellaery" numFmtId="164">
      <sharedItems containsSemiMixedTypes="0" containsString="0" containsNumber="1" containsInteger="1" minValue="460" maxValue="100500"/>
    </cacheField>
    <cacheField name="Garments" numFmtId="164">
      <sharedItems containsSemiMixedTypes="0" containsString="0" containsNumber="1" containsInteger="1" minValue="680" maxValue="504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s v="prd01"/>
    <x v="0"/>
    <n v="15500"/>
    <x v="0"/>
    <x v="0"/>
    <x v="0"/>
  </r>
  <r>
    <s v="prd02"/>
    <x v="1"/>
    <n v="70"/>
    <x v="1"/>
    <x v="1"/>
    <x v="1"/>
  </r>
  <r>
    <s v="prd03"/>
    <x v="2"/>
    <n v="450"/>
    <x v="2"/>
    <x v="2"/>
    <x v="2"/>
  </r>
  <r>
    <s v="prd04"/>
    <x v="3"/>
    <n v="2250"/>
    <x v="0"/>
    <x v="0"/>
    <x v="3"/>
  </r>
  <r>
    <s v="prd05"/>
    <x v="4"/>
    <n v="45000"/>
    <x v="1"/>
    <x v="1"/>
    <x v="0"/>
  </r>
  <r>
    <s v="prd06"/>
    <x v="5"/>
    <n v="60"/>
    <x v="2"/>
    <x v="2"/>
    <x v="1"/>
  </r>
  <r>
    <s v="prd07"/>
    <x v="6"/>
    <n v="79900"/>
    <x v="0"/>
    <x v="0"/>
    <x v="3"/>
  </r>
  <r>
    <s v="prd08"/>
    <x v="7"/>
    <n v="80"/>
    <x v="1"/>
    <x v="1"/>
    <x v="1"/>
  </r>
  <r>
    <s v="prd09"/>
    <x v="8"/>
    <n v="55"/>
    <x v="0"/>
    <x v="0"/>
    <x v="1"/>
  </r>
  <r>
    <s v="prd10"/>
    <x v="3"/>
    <n v="1500"/>
    <x v="1"/>
    <x v="1"/>
    <x v="0"/>
  </r>
  <r>
    <s v="prd11"/>
    <x v="9"/>
    <n v="150"/>
    <x v="2"/>
    <x v="2"/>
    <x v="4"/>
  </r>
  <r>
    <s v="prd12"/>
    <x v="10"/>
    <n v="750"/>
    <x v="2"/>
    <x v="2"/>
    <x v="2"/>
  </r>
  <r>
    <s v="prd13"/>
    <x v="11"/>
    <n v="120"/>
    <x v="0"/>
    <x v="0"/>
    <x v="0"/>
  </r>
  <r>
    <s v="prd14"/>
    <x v="12"/>
    <n v="180"/>
    <x v="3"/>
    <x v="1"/>
    <x v="3"/>
  </r>
  <r>
    <s v="prd15"/>
    <x v="13"/>
    <n v="450"/>
    <x v="4"/>
    <x v="0"/>
    <x v="1"/>
  </r>
  <r>
    <s v="prd16"/>
    <x v="14"/>
    <n v="70"/>
    <x v="3"/>
    <x v="1"/>
    <x v="4"/>
  </r>
  <r>
    <s v="prd17"/>
    <x v="15"/>
    <n v="699"/>
    <x v="4"/>
    <x v="0"/>
    <x v="2"/>
  </r>
  <r>
    <s v="prd18"/>
    <x v="16"/>
    <n v="599"/>
    <x v="3"/>
    <x v="1"/>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n v="560000"/>
    <n v="145000"/>
    <n v="45000"/>
    <n v="24500"/>
    <n v="25000"/>
  </r>
  <r>
    <x v="1"/>
    <n v="250050"/>
    <n v="56000"/>
    <n v="8050"/>
    <n v="7800"/>
    <n v="20500"/>
  </r>
  <r>
    <x v="2"/>
    <n v="150050"/>
    <n v="34500"/>
    <n v="9000"/>
    <n v="100500"/>
    <n v="504000"/>
  </r>
  <r>
    <x v="3"/>
    <n v="87050"/>
    <n v="23345"/>
    <n v="1899"/>
    <n v="50600"/>
    <n v="680"/>
  </r>
  <r>
    <x v="4"/>
    <n v="56800"/>
    <n v="9800"/>
    <n v="23000"/>
    <n v="5600"/>
    <n v="3499"/>
  </r>
  <r>
    <x v="5"/>
    <n v="34700"/>
    <n v="7500"/>
    <n v="78005"/>
    <n v="4800"/>
    <n v="2700"/>
  </r>
  <r>
    <x v="6"/>
    <n v="32390"/>
    <n v="1600"/>
    <n v="5600"/>
    <n v="1500"/>
    <n v="20700"/>
  </r>
  <r>
    <x v="7"/>
    <n v="42100"/>
    <n v="26500"/>
    <n v="76000"/>
    <n v="1890"/>
    <n v="89000"/>
  </r>
  <r>
    <x v="8"/>
    <n v="21000"/>
    <n v="35000"/>
    <n v="950"/>
    <n v="460"/>
    <n v="37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C57B5F-D079-41C8-B922-D1F7C48AC8B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4:B22" firstHeaderRow="1" firstDataRow="1" firstDataCol="1" rowPageCount="1" colPageCount="1"/>
  <pivotFields count="6">
    <pivotField showAll="0"/>
    <pivotField showAll="0"/>
    <pivotField dataField="1" showAll="0"/>
    <pivotField axis="axisRow" showAll="0">
      <items count="6">
        <item x="4"/>
        <item x="3"/>
        <item x="2"/>
        <item x="1"/>
        <item x="0"/>
        <item t="default"/>
      </items>
    </pivotField>
    <pivotField axis="axisPage" multipleItemSelectionAllowed="1" showAll="0">
      <items count="4">
        <item x="1"/>
        <item x="0"/>
        <item x="2"/>
        <item t="default"/>
      </items>
    </pivotField>
    <pivotField axis="axisRow" showAll="0">
      <items count="6">
        <item x="0"/>
        <item x="4"/>
        <item x="3"/>
        <item x="2"/>
        <item x="1"/>
        <item t="default"/>
      </items>
    </pivotField>
  </pivotFields>
  <rowFields count="2">
    <field x="5"/>
    <field x="3"/>
  </rowFields>
  <rowItems count="18">
    <i>
      <x/>
    </i>
    <i r="1">
      <x v="3"/>
    </i>
    <i r="1">
      <x v="4"/>
    </i>
    <i>
      <x v="1"/>
    </i>
    <i r="1">
      <x v="1"/>
    </i>
    <i r="1">
      <x v="2"/>
    </i>
    <i>
      <x v="2"/>
    </i>
    <i r="1">
      <x v="1"/>
    </i>
    <i r="1">
      <x v="4"/>
    </i>
    <i>
      <x v="3"/>
    </i>
    <i r="1">
      <x/>
    </i>
    <i r="1">
      <x v="2"/>
    </i>
    <i>
      <x v="4"/>
    </i>
    <i r="1">
      <x/>
    </i>
    <i r="1">
      <x v="2"/>
    </i>
    <i r="1">
      <x v="3"/>
    </i>
    <i r="1">
      <x v="4"/>
    </i>
    <i t="grand">
      <x/>
    </i>
  </rowItems>
  <colItems count="1">
    <i/>
  </colItems>
  <pageFields count="1">
    <pageField fld="4" hier="-1"/>
  </pageFields>
  <dataFields count="1">
    <dataField name="Sum of Sales" fld="2" baseField="0" baseItem="0"/>
  </dataFields>
  <formats count="55">
    <format dxfId="70">
      <pivotArea type="all" dataOnly="0" outline="0" fieldPosition="0"/>
    </format>
    <format dxfId="69">
      <pivotArea outline="0" collapsedLevelsAreSubtotals="1" fieldPosition="0"/>
    </format>
    <format dxfId="68">
      <pivotArea field="5" type="button" dataOnly="0" labelOnly="1" outline="0" axis="axisRow" fieldPosition="0"/>
    </format>
    <format dxfId="67">
      <pivotArea dataOnly="0" labelOnly="1" fieldPosition="0">
        <references count="1">
          <reference field="5" count="0"/>
        </references>
      </pivotArea>
    </format>
    <format dxfId="66">
      <pivotArea dataOnly="0" labelOnly="1" grandRow="1" outline="0" fieldPosition="0"/>
    </format>
    <format dxfId="65">
      <pivotArea dataOnly="0" labelOnly="1" fieldPosition="0">
        <references count="2">
          <reference field="3" count="2">
            <x v="3"/>
            <x v="4"/>
          </reference>
          <reference field="5" count="1" selected="0">
            <x v="0"/>
          </reference>
        </references>
      </pivotArea>
    </format>
    <format dxfId="64">
      <pivotArea dataOnly="0" labelOnly="1" fieldPosition="0">
        <references count="2">
          <reference field="3" count="2">
            <x v="1"/>
            <x v="2"/>
          </reference>
          <reference field="5" count="1" selected="0">
            <x v="1"/>
          </reference>
        </references>
      </pivotArea>
    </format>
    <format dxfId="63">
      <pivotArea dataOnly="0" labelOnly="1" fieldPosition="0">
        <references count="2">
          <reference field="3" count="2">
            <x v="1"/>
            <x v="4"/>
          </reference>
          <reference field="5" count="1" selected="0">
            <x v="2"/>
          </reference>
        </references>
      </pivotArea>
    </format>
    <format dxfId="62">
      <pivotArea dataOnly="0" labelOnly="1" fieldPosition="0">
        <references count="2">
          <reference field="3" count="2">
            <x v="0"/>
            <x v="2"/>
          </reference>
          <reference field="5" count="1" selected="0">
            <x v="3"/>
          </reference>
        </references>
      </pivotArea>
    </format>
    <format dxfId="61">
      <pivotArea dataOnly="0" labelOnly="1" fieldPosition="0">
        <references count="2">
          <reference field="3" count="4">
            <x v="0"/>
            <x v="2"/>
            <x v="3"/>
            <x v="4"/>
          </reference>
          <reference field="5" count="1" selected="0">
            <x v="4"/>
          </reference>
        </references>
      </pivotArea>
    </format>
    <format dxfId="60">
      <pivotArea dataOnly="0" labelOnly="1" outline="0" axis="axisValues" fieldPosition="0"/>
    </format>
    <format dxfId="58">
      <pivotArea type="all" dataOnly="0" outline="0" fieldPosition="0"/>
    </format>
    <format dxfId="57">
      <pivotArea outline="0" collapsedLevelsAreSubtotals="1" fieldPosition="0"/>
    </format>
    <format dxfId="56">
      <pivotArea field="5" type="button" dataOnly="0" labelOnly="1" outline="0" axis="axisRow" fieldPosition="0"/>
    </format>
    <format dxfId="55">
      <pivotArea dataOnly="0" labelOnly="1" fieldPosition="0">
        <references count="1">
          <reference field="5" count="0"/>
        </references>
      </pivotArea>
    </format>
    <format dxfId="54">
      <pivotArea dataOnly="0" labelOnly="1" grandRow="1" outline="0" fieldPosition="0"/>
    </format>
    <format dxfId="53">
      <pivotArea dataOnly="0" labelOnly="1" fieldPosition="0">
        <references count="2">
          <reference field="3" count="2">
            <x v="3"/>
            <x v="4"/>
          </reference>
          <reference field="5" count="1" selected="0">
            <x v="0"/>
          </reference>
        </references>
      </pivotArea>
    </format>
    <format dxfId="52">
      <pivotArea dataOnly="0" labelOnly="1" fieldPosition="0">
        <references count="2">
          <reference field="3" count="2">
            <x v="1"/>
            <x v="2"/>
          </reference>
          <reference field="5" count="1" selected="0">
            <x v="1"/>
          </reference>
        </references>
      </pivotArea>
    </format>
    <format dxfId="51">
      <pivotArea dataOnly="0" labelOnly="1" fieldPosition="0">
        <references count="2">
          <reference field="3" count="2">
            <x v="1"/>
            <x v="4"/>
          </reference>
          <reference field="5" count="1" selected="0">
            <x v="2"/>
          </reference>
        </references>
      </pivotArea>
    </format>
    <format dxfId="50">
      <pivotArea dataOnly="0" labelOnly="1" fieldPosition="0">
        <references count="2">
          <reference field="3" count="2">
            <x v="0"/>
            <x v="2"/>
          </reference>
          <reference field="5" count="1" selected="0">
            <x v="3"/>
          </reference>
        </references>
      </pivotArea>
    </format>
    <format dxfId="49">
      <pivotArea dataOnly="0" labelOnly="1" fieldPosition="0">
        <references count="2">
          <reference field="3" count="4">
            <x v="0"/>
            <x v="2"/>
            <x v="3"/>
            <x v="4"/>
          </reference>
          <reference field="5" count="1" selected="0">
            <x v="4"/>
          </reference>
        </references>
      </pivotArea>
    </format>
    <format dxfId="48">
      <pivotArea dataOnly="0" labelOnly="1" outline="0" axis="axisValues" fieldPosition="0"/>
    </format>
    <format dxfId="46">
      <pivotArea type="all" dataOnly="0" outline="0" fieldPosition="0"/>
    </format>
    <format dxfId="45">
      <pivotArea outline="0" collapsedLevelsAreSubtotals="1" fieldPosition="0"/>
    </format>
    <format dxfId="44">
      <pivotArea field="5" type="button" dataOnly="0" labelOnly="1" outline="0" axis="axisRow" fieldPosition="0"/>
    </format>
    <format dxfId="43">
      <pivotArea dataOnly="0" labelOnly="1" fieldPosition="0">
        <references count="1">
          <reference field="5" count="0"/>
        </references>
      </pivotArea>
    </format>
    <format dxfId="42">
      <pivotArea dataOnly="0" labelOnly="1" grandRow="1" outline="0" fieldPosition="0"/>
    </format>
    <format dxfId="41">
      <pivotArea dataOnly="0" labelOnly="1" fieldPosition="0">
        <references count="2">
          <reference field="3" count="2">
            <x v="3"/>
            <x v="4"/>
          </reference>
          <reference field="5" count="1" selected="0">
            <x v="0"/>
          </reference>
        </references>
      </pivotArea>
    </format>
    <format dxfId="40">
      <pivotArea dataOnly="0" labelOnly="1" fieldPosition="0">
        <references count="2">
          <reference field="3" count="2">
            <x v="1"/>
            <x v="2"/>
          </reference>
          <reference field="5" count="1" selected="0">
            <x v="1"/>
          </reference>
        </references>
      </pivotArea>
    </format>
    <format dxfId="39">
      <pivotArea dataOnly="0" labelOnly="1" fieldPosition="0">
        <references count="2">
          <reference field="3" count="2">
            <x v="1"/>
            <x v="4"/>
          </reference>
          <reference field="5" count="1" selected="0">
            <x v="2"/>
          </reference>
        </references>
      </pivotArea>
    </format>
    <format dxfId="38">
      <pivotArea dataOnly="0" labelOnly="1" fieldPosition="0">
        <references count="2">
          <reference field="3" count="2">
            <x v="0"/>
            <x v="2"/>
          </reference>
          <reference field="5" count="1" selected="0">
            <x v="3"/>
          </reference>
        </references>
      </pivotArea>
    </format>
    <format dxfId="37">
      <pivotArea dataOnly="0" labelOnly="1" fieldPosition="0">
        <references count="2">
          <reference field="3" count="4">
            <x v="0"/>
            <x v="2"/>
            <x v="3"/>
            <x v="4"/>
          </reference>
          <reference field="5" count="1" selected="0">
            <x v="4"/>
          </reference>
        </references>
      </pivotArea>
    </format>
    <format dxfId="36">
      <pivotArea dataOnly="0" labelOnly="1" outline="0" axis="axisValues" fieldPosition="0"/>
    </format>
    <format dxfId="34">
      <pivotArea type="all" dataOnly="0" outline="0" fieldPosition="0"/>
    </format>
    <format dxfId="33">
      <pivotArea outline="0" collapsedLevelsAreSubtotals="1" fieldPosition="0"/>
    </format>
    <format dxfId="32">
      <pivotArea field="5" type="button" dataOnly="0" labelOnly="1" outline="0" axis="axisRow" fieldPosition="0"/>
    </format>
    <format dxfId="31">
      <pivotArea dataOnly="0" labelOnly="1" fieldPosition="0">
        <references count="1">
          <reference field="5" count="0"/>
        </references>
      </pivotArea>
    </format>
    <format dxfId="30">
      <pivotArea dataOnly="0" labelOnly="1" grandRow="1" outline="0" fieldPosition="0"/>
    </format>
    <format dxfId="29">
      <pivotArea dataOnly="0" labelOnly="1" fieldPosition="0">
        <references count="2">
          <reference field="3" count="2">
            <x v="3"/>
            <x v="4"/>
          </reference>
          <reference field="5" count="1" selected="0">
            <x v="0"/>
          </reference>
        </references>
      </pivotArea>
    </format>
    <format dxfId="28">
      <pivotArea dataOnly="0" labelOnly="1" fieldPosition="0">
        <references count="2">
          <reference field="3" count="2">
            <x v="1"/>
            <x v="2"/>
          </reference>
          <reference field="5" count="1" selected="0">
            <x v="1"/>
          </reference>
        </references>
      </pivotArea>
    </format>
    <format dxfId="27">
      <pivotArea dataOnly="0" labelOnly="1" fieldPosition="0">
        <references count="2">
          <reference field="3" count="2">
            <x v="1"/>
            <x v="4"/>
          </reference>
          <reference field="5" count="1" selected="0">
            <x v="2"/>
          </reference>
        </references>
      </pivotArea>
    </format>
    <format dxfId="26">
      <pivotArea dataOnly="0" labelOnly="1" fieldPosition="0">
        <references count="2">
          <reference field="3" count="2">
            <x v="0"/>
            <x v="2"/>
          </reference>
          <reference field="5" count="1" selected="0">
            <x v="3"/>
          </reference>
        </references>
      </pivotArea>
    </format>
    <format dxfId="25">
      <pivotArea dataOnly="0" labelOnly="1" fieldPosition="0">
        <references count="2">
          <reference field="3" count="4">
            <x v="0"/>
            <x v="2"/>
            <x v="3"/>
            <x v="4"/>
          </reference>
          <reference field="5" count="1" selected="0">
            <x v="4"/>
          </reference>
        </references>
      </pivotArea>
    </format>
    <format dxfId="24">
      <pivotArea dataOnly="0" labelOnly="1" outline="0" axis="axisValues" fieldPosition="0"/>
    </format>
    <format dxfId="22">
      <pivotArea type="all" dataOnly="0" outline="0" fieldPosition="0"/>
    </format>
    <format dxfId="21">
      <pivotArea outline="0" collapsedLevelsAreSubtotals="1" fieldPosition="0"/>
    </format>
    <format dxfId="20">
      <pivotArea field="5" type="button" dataOnly="0" labelOnly="1" outline="0" axis="axisRow" fieldPosition="0"/>
    </format>
    <format dxfId="19">
      <pivotArea dataOnly="0" labelOnly="1" fieldPosition="0">
        <references count="1">
          <reference field="5" count="0"/>
        </references>
      </pivotArea>
    </format>
    <format dxfId="18">
      <pivotArea dataOnly="0" labelOnly="1" grandRow="1" outline="0" fieldPosition="0"/>
    </format>
    <format dxfId="17">
      <pivotArea dataOnly="0" labelOnly="1" fieldPosition="0">
        <references count="2">
          <reference field="3" count="2">
            <x v="3"/>
            <x v="4"/>
          </reference>
          <reference field="5" count="1" selected="0">
            <x v="0"/>
          </reference>
        </references>
      </pivotArea>
    </format>
    <format dxfId="16">
      <pivotArea dataOnly="0" labelOnly="1" fieldPosition="0">
        <references count="2">
          <reference field="3" count="2">
            <x v="1"/>
            <x v="2"/>
          </reference>
          <reference field="5" count="1" selected="0">
            <x v="1"/>
          </reference>
        </references>
      </pivotArea>
    </format>
    <format dxfId="15">
      <pivotArea dataOnly="0" labelOnly="1" fieldPosition="0">
        <references count="2">
          <reference field="3" count="2">
            <x v="1"/>
            <x v="4"/>
          </reference>
          <reference field="5" count="1" selected="0">
            <x v="2"/>
          </reference>
        </references>
      </pivotArea>
    </format>
    <format dxfId="14">
      <pivotArea dataOnly="0" labelOnly="1" fieldPosition="0">
        <references count="2">
          <reference field="3" count="2">
            <x v="0"/>
            <x v="2"/>
          </reference>
          <reference field="5" count="1" selected="0">
            <x v="3"/>
          </reference>
        </references>
      </pivotArea>
    </format>
    <format dxfId="13">
      <pivotArea dataOnly="0" labelOnly="1" fieldPosition="0">
        <references count="2">
          <reference field="3" count="4">
            <x v="0"/>
            <x v="2"/>
            <x v="3"/>
            <x v="4"/>
          </reference>
          <reference field="5" count="1" selected="0">
            <x v="4"/>
          </reference>
        </references>
      </pivotArea>
    </format>
    <format dxfId="12">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6B5FA2-EF32-438F-A126-846F11C68321}"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F13" firstHeaderRow="0" firstDataRow="1" firstDataCol="1"/>
  <pivotFields count="6">
    <pivotField axis="axisRow" showAll="0">
      <items count="10">
        <item x="0"/>
        <item x="1"/>
        <item x="2"/>
        <item x="3"/>
        <item x="4"/>
        <item x="5"/>
        <item x="6"/>
        <item x="7"/>
        <item x="8"/>
        <item t="default"/>
      </items>
    </pivotField>
    <pivotField dataField="1" numFmtId="164" showAll="0"/>
    <pivotField dataField="1" numFmtId="164" showAll="0"/>
    <pivotField dataField="1" numFmtId="164" showAll="0"/>
    <pivotField dataField="1" numFmtId="164" showAll="0"/>
    <pivotField dataField="1" numFmtId="164" showAll="0"/>
  </pivotFields>
  <rowFields count="1">
    <field x="0"/>
  </rowFields>
  <rowItems count="10">
    <i>
      <x/>
    </i>
    <i>
      <x v="1"/>
    </i>
    <i>
      <x v="2"/>
    </i>
    <i>
      <x v="3"/>
    </i>
    <i>
      <x v="4"/>
    </i>
    <i>
      <x v="5"/>
    </i>
    <i>
      <x v="6"/>
    </i>
    <i>
      <x v="7"/>
    </i>
    <i>
      <x v="8"/>
    </i>
    <i t="grand">
      <x/>
    </i>
  </rowItems>
  <colFields count="1">
    <field x="-2"/>
  </colFields>
  <colItems count="5">
    <i>
      <x/>
    </i>
    <i i="1">
      <x v="1"/>
    </i>
    <i i="2">
      <x v="2"/>
    </i>
    <i i="3">
      <x v="3"/>
    </i>
    <i i="4">
      <x v="4"/>
    </i>
  </colItems>
  <dataFields count="5">
    <dataField name="Sum of Grocery" fld="1" baseField="0" baseItem="0"/>
    <dataField name="Sum of Electronices" fld="2" baseField="0" baseItem="0"/>
    <dataField name="Sum of Cloths" fld="3" baseField="0" baseItem="0"/>
    <dataField name="Sum of Jewellaery" fld="4" baseField="0" baseItem="0"/>
    <dataField name="Sum of Garments" fld="5"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42DF12FC-FC6F-41EA-8F6D-C8EDF18A47F1}" sourceName="Products">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0BEC47A-CF39-4363-BE9C-C9F60DF4BBAB}" sourceName="City">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xr10:uid="{FBE0D211-4EC5-4057-913B-E7E5E21EED28}" cache="Slicer_Products" caption="Products" rowHeight="241300"/>
  <slicer name="City" xr10:uid="{08DAF753-37D6-456B-A10A-754486D840F0}" cache="Slicer_City" caption="C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BB564E-F813-4E75-AFB4-5F463D8A85C5}" name="Table1" displayName="Table1" ref="A3:F21" totalsRowShown="0" headerRowDxfId="81" dataDxfId="79" headerRowBorderDxfId="80" tableBorderDxfId="78" totalsRowBorderDxfId="77">
  <autoFilter ref="A3:F21" xr:uid="{ABBB564E-F813-4E75-AFB4-5F463D8A85C5}"/>
  <tableColumns count="6">
    <tableColumn id="1" xr3:uid="{A91C3621-575B-43D9-ADE8-678DDA01DA7E}" name="Product Id" dataDxfId="76"/>
    <tableColumn id="2" xr3:uid="{14E3DE93-9190-4F3B-A024-70F62A7DB79C}" name="Products" dataDxfId="75"/>
    <tableColumn id="3" xr3:uid="{364FF514-E5D9-4A90-9397-822496EA74AD}" name="Sales" dataDxfId="74"/>
    <tableColumn id="4" xr3:uid="{A8546C26-13B6-4B02-8443-D7F9FCA35A55}" name="City" dataDxfId="73"/>
    <tableColumn id="5" xr3:uid="{2784A5EA-9725-4688-8C84-F1B9E6D874EC}" name="State" dataDxfId="72"/>
    <tableColumn id="6" xr3:uid="{2BE3BEC1-1495-4F62-A486-A3B8B789B241}" name="Company" dataDxfId="7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FF0B4B-3ECE-42A8-B5F8-E7B2B87BC0D9}" name="Table2" displayName="Table2" ref="A3:F12" totalsRowShown="0" headerRowDxfId="0" dataDxfId="1" headerRowBorderDxfId="9" tableBorderDxfId="10" totalsRowBorderDxfId="8">
  <autoFilter ref="A3:F12" xr:uid="{72FF0B4B-3ECE-42A8-B5F8-E7B2B87BC0D9}"/>
  <tableColumns count="6">
    <tableColumn id="1" xr3:uid="{E94E6980-DB45-4B36-A03A-6E08738FCCEF}" name="Year" dataDxfId="7"/>
    <tableColumn id="2" xr3:uid="{35641C06-148F-46E9-B2A0-9B6EA902B1AF}" name="Grocery" dataDxfId="6"/>
    <tableColumn id="3" xr3:uid="{617EE411-E45F-4C1E-9323-39D6C1F065D9}" name="Electronices" dataDxfId="5"/>
    <tableColumn id="4" xr3:uid="{FF0D2750-60A5-48F7-8020-717A8EEA2322}" name="Cloths" dataDxfId="4"/>
    <tableColumn id="5" xr3:uid="{BAAB7047-803C-44EE-841E-352FC0C9F120}" name="Jewellery" dataDxfId="3"/>
    <tableColumn id="6" xr3:uid="{336487E3-418F-4B54-B432-FF7BA1EFF15B}" name="Garment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1FDAF-71EE-45F3-8C59-DAB74DDF596E}">
  <dimension ref="A1"/>
  <sheetViews>
    <sheetView workbookViewId="0">
      <selection activeCell="M11" sqref="M11"/>
    </sheetView>
  </sheetViews>
  <sheetFormatPr defaultRowHeight="15" x14ac:dyDescent="0.25"/>
  <cols>
    <col min="1" max="1" width="12.140625" customWidth="1"/>
    <col min="2" max="2" width="10.85546875" customWidth="1"/>
    <col min="6" max="6" width="11.42578125"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25DB8-15D8-41C0-9BB6-271C2BA6D020}">
  <dimension ref="A1:S22"/>
  <sheetViews>
    <sheetView workbookViewId="0">
      <selection activeCell="M8" sqref="M8"/>
    </sheetView>
  </sheetViews>
  <sheetFormatPr defaultRowHeight="15" x14ac:dyDescent="0.25"/>
  <cols>
    <col min="1" max="1" width="15.85546875" bestFit="1" customWidth="1"/>
    <col min="2" max="2" width="12.140625" bestFit="1" customWidth="1"/>
    <col min="3" max="3" width="7.7109375" bestFit="1" customWidth="1"/>
    <col min="4" max="4" width="8.28515625" bestFit="1" customWidth="1"/>
    <col min="5" max="5" width="14" bestFit="1" customWidth="1"/>
    <col min="6" max="7" width="11.28515625" bestFit="1" customWidth="1"/>
    <col min="8" max="8" width="9.5703125" bestFit="1" customWidth="1"/>
    <col min="9" max="9" width="6.85546875" bestFit="1" customWidth="1"/>
    <col min="10" max="10" width="12.5703125" bestFit="1" customWidth="1"/>
    <col min="11" max="11" width="10.140625" bestFit="1" customWidth="1"/>
    <col min="12" max="12" width="7.5703125" bestFit="1" customWidth="1"/>
    <col min="13" max="13" width="13.28515625" bestFit="1" customWidth="1"/>
    <col min="14" max="14" width="15.85546875" bestFit="1" customWidth="1"/>
    <col min="15" max="15" width="7.5703125" bestFit="1" customWidth="1"/>
    <col min="16" max="16" width="6" bestFit="1" customWidth="1"/>
    <col min="17" max="17" width="6.85546875" bestFit="1" customWidth="1"/>
    <col min="18" max="18" width="19" bestFit="1" customWidth="1"/>
    <col min="19" max="19" width="11.28515625" bestFit="1" customWidth="1"/>
  </cols>
  <sheetData>
    <row r="1" spans="1:19" x14ac:dyDescent="0.25">
      <c r="R1">
        <v>0</v>
      </c>
      <c r="S1">
        <v>0</v>
      </c>
    </row>
    <row r="2" spans="1:19" ht="15.75" x14ac:dyDescent="0.25">
      <c r="A2" s="21" t="s">
        <v>3</v>
      </c>
      <c r="B2" s="21" t="s">
        <v>64</v>
      </c>
      <c r="R2">
        <v>0</v>
      </c>
      <c r="S2">
        <v>0</v>
      </c>
    </row>
    <row r="3" spans="1:19" ht="15.75" x14ac:dyDescent="0.25">
      <c r="A3" s="21"/>
      <c r="B3" s="21"/>
    </row>
    <row r="4" spans="1:19" ht="15.75" x14ac:dyDescent="0.25">
      <c r="A4" s="21" t="s">
        <v>61</v>
      </c>
      <c r="B4" s="21" t="s">
        <v>63</v>
      </c>
    </row>
    <row r="5" spans="1:19" ht="15.75" x14ac:dyDescent="0.25">
      <c r="A5" s="22" t="s">
        <v>48</v>
      </c>
      <c r="B5" s="21">
        <v>62120</v>
      </c>
    </row>
    <row r="6" spans="1:19" ht="15.75" x14ac:dyDescent="0.25">
      <c r="A6" s="23" t="s">
        <v>41</v>
      </c>
      <c r="B6" s="21">
        <v>46500</v>
      </c>
    </row>
    <row r="7" spans="1:19" ht="15.75" x14ac:dyDescent="0.25">
      <c r="A7" s="23" t="s">
        <v>40</v>
      </c>
      <c r="B7" s="21">
        <v>15620</v>
      </c>
      <c r="H7" s="18"/>
    </row>
    <row r="8" spans="1:19" ht="15.75" x14ac:dyDescent="0.25">
      <c r="A8" s="22" t="s">
        <v>51</v>
      </c>
      <c r="B8" s="21">
        <v>220</v>
      </c>
    </row>
    <row r="9" spans="1:19" ht="15.75" x14ac:dyDescent="0.25">
      <c r="A9" s="23" t="s">
        <v>43</v>
      </c>
      <c r="B9" s="21">
        <v>70</v>
      </c>
    </row>
    <row r="10" spans="1:19" ht="15.75" x14ac:dyDescent="0.25">
      <c r="A10" s="23" t="s">
        <v>42</v>
      </c>
      <c r="B10" s="21">
        <v>150</v>
      </c>
    </row>
    <row r="11" spans="1:19" ht="15.75" x14ac:dyDescent="0.25">
      <c r="A11" s="22" t="s">
        <v>50</v>
      </c>
      <c r="B11" s="21">
        <v>82929</v>
      </c>
    </row>
    <row r="12" spans="1:19" ht="15.75" x14ac:dyDescent="0.25">
      <c r="A12" s="23" t="s">
        <v>43</v>
      </c>
      <c r="B12" s="21">
        <v>779</v>
      </c>
      <c r="H12" s="17"/>
    </row>
    <row r="13" spans="1:19" ht="15.75" x14ac:dyDescent="0.25">
      <c r="A13" s="23" t="s">
        <v>40</v>
      </c>
      <c r="B13" s="21">
        <v>82150</v>
      </c>
    </row>
    <row r="14" spans="1:19" ht="15.75" x14ac:dyDescent="0.25">
      <c r="A14" s="22" t="s">
        <v>49</v>
      </c>
      <c r="B14" s="21">
        <v>1899</v>
      </c>
    </row>
    <row r="15" spans="1:19" ht="15.75" x14ac:dyDescent="0.25">
      <c r="A15" s="23" t="s">
        <v>44</v>
      </c>
      <c r="B15" s="21">
        <v>699</v>
      </c>
    </row>
    <row r="16" spans="1:19" ht="15.75" x14ac:dyDescent="0.25">
      <c r="A16" s="23" t="s">
        <v>42</v>
      </c>
      <c r="B16" s="21">
        <v>1200</v>
      </c>
    </row>
    <row r="17" spans="1:2" ht="15.75" x14ac:dyDescent="0.25">
      <c r="A17" s="22" t="s">
        <v>52</v>
      </c>
      <c r="B17" s="21">
        <v>715</v>
      </c>
    </row>
    <row r="18" spans="1:2" ht="15.75" x14ac:dyDescent="0.25">
      <c r="A18" s="23" t="s">
        <v>44</v>
      </c>
      <c r="B18" s="21">
        <v>450</v>
      </c>
    </row>
    <row r="19" spans="1:2" ht="15.75" x14ac:dyDescent="0.25">
      <c r="A19" s="23" t="s">
        <v>42</v>
      </c>
      <c r="B19" s="21">
        <v>60</v>
      </c>
    </row>
    <row r="20" spans="1:2" ht="15.75" x14ac:dyDescent="0.25">
      <c r="A20" s="23" t="s">
        <v>41</v>
      </c>
      <c r="B20" s="21">
        <v>150</v>
      </c>
    </row>
    <row r="21" spans="1:2" ht="15.75" x14ac:dyDescent="0.25">
      <c r="A21" s="23" t="s">
        <v>40</v>
      </c>
      <c r="B21" s="21">
        <v>55</v>
      </c>
    </row>
    <row r="22" spans="1:2" ht="15.75" x14ac:dyDescent="0.25">
      <c r="A22" s="22" t="s">
        <v>62</v>
      </c>
      <c r="B22" s="21">
        <v>147883</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xr2:uid="{5851FA42-2750-4793-8838-C1B80C06B8AB}">
          <x14:colorSeries rgb="FF323232"/>
          <x14:colorNegative rgb="FFD00000"/>
          <x14:colorAxis rgb="FF000000"/>
          <x14:colorMarkers rgb="FFD00000"/>
          <x14:colorFirst rgb="FFD00000"/>
          <x14:colorLast rgb="FFD00000"/>
          <x14:colorHigh rgb="FFD00000"/>
          <x14:colorLow rgb="FFD00000"/>
          <x14:sparklines>
            <x14:sparkline>
              <xm:f>Sheet3!A6</xm:f>
              <xm:sqref>D4</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2F670-28FC-44C5-9AF0-07E52381E095}">
  <dimension ref="A2:F22"/>
  <sheetViews>
    <sheetView workbookViewId="0">
      <selection activeCell="H19" sqref="H19"/>
    </sheetView>
  </sheetViews>
  <sheetFormatPr defaultRowHeight="15" x14ac:dyDescent="0.25"/>
  <cols>
    <col min="1" max="1" width="15.140625" customWidth="1"/>
    <col min="2" max="2" width="13" customWidth="1"/>
    <col min="3" max="3" width="12.28515625" bestFit="1" customWidth="1"/>
    <col min="5" max="5" width="8.5703125" customWidth="1"/>
    <col min="6" max="6" width="14" customWidth="1"/>
  </cols>
  <sheetData>
    <row r="2" spans="1:6" ht="21.75" x14ac:dyDescent="0.4">
      <c r="A2" s="19" t="s">
        <v>53</v>
      </c>
      <c r="B2" s="20"/>
      <c r="C2" s="20"/>
      <c r="D2" s="20"/>
      <c r="E2" s="20"/>
      <c r="F2" s="20"/>
    </row>
    <row r="3" spans="1:6" ht="20.25" x14ac:dyDescent="0.4">
      <c r="A3" s="1" t="s">
        <v>0</v>
      </c>
      <c r="B3" s="2" t="s">
        <v>54</v>
      </c>
      <c r="C3" s="2" t="s">
        <v>1</v>
      </c>
      <c r="D3" s="2" t="s">
        <v>2</v>
      </c>
      <c r="E3" s="2" t="s">
        <v>3</v>
      </c>
      <c r="F3" s="3" t="s">
        <v>36</v>
      </c>
    </row>
    <row r="4" spans="1:6" x14ac:dyDescent="0.25">
      <c r="A4" s="7" t="s">
        <v>4</v>
      </c>
      <c r="B4" s="8" t="s">
        <v>14</v>
      </c>
      <c r="C4" s="9">
        <v>15500</v>
      </c>
      <c r="D4" s="8" t="s">
        <v>40</v>
      </c>
      <c r="E4" s="8" t="s">
        <v>45</v>
      </c>
      <c r="F4" s="10" t="s">
        <v>48</v>
      </c>
    </row>
    <row r="5" spans="1:6" x14ac:dyDescent="0.25">
      <c r="A5" s="7" t="s">
        <v>5</v>
      </c>
      <c r="B5" s="8" t="s">
        <v>37</v>
      </c>
      <c r="C5" s="9">
        <v>70</v>
      </c>
      <c r="D5" s="8" t="s">
        <v>41</v>
      </c>
      <c r="E5" s="8" t="s">
        <v>46</v>
      </c>
      <c r="F5" s="10" t="s">
        <v>52</v>
      </c>
    </row>
    <row r="6" spans="1:6" x14ac:dyDescent="0.25">
      <c r="A6" s="7" t="s">
        <v>6</v>
      </c>
      <c r="B6" s="8" t="s">
        <v>15</v>
      </c>
      <c r="C6" s="9">
        <v>450</v>
      </c>
      <c r="D6" s="8" t="s">
        <v>42</v>
      </c>
      <c r="E6" s="8" t="s">
        <v>47</v>
      </c>
      <c r="F6" s="10" t="s">
        <v>49</v>
      </c>
    </row>
    <row r="7" spans="1:6" x14ac:dyDescent="0.25">
      <c r="A7" s="7" t="s">
        <v>7</v>
      </c>
      <c r="B7" s="8" t="s">
        <v>16</v>
      </c>
      <c r="C7" s="9">
        <v>2250</v>
      </c>
      <c r="D7" s="8" t="s">
        <v>40</v>
      </c>
      <c r="E7" s="8" t="s">
        <v>45</v>
      </c>
      <c r="F7" s="10" t="s">
        <v>50</v>
      </c>
    </row>
    <row r="8" spans="1:6" x14ac:dyDescent="0.25">
      <c r="A8" s="7" t="s">
        <v>8</v>
      </c>
      <c r="B8" s="8" t="s">
        <v>38</v>
      </c>
      <c r="C8" s="9">
        <v>45000</v>
      </c>
      <c r="D8" s="8" t="s">
        <v>41</v>
      </c>
      <c r="E8" s="8" t="s">
        <v>46</v>
      </c>
      <c r="F8" s="10" t="s">
        <v>48</v>
      </c>
    </row>
    <row r="9" spans="1:6" x14ac:dyDescent="0.25">
      <c r="A9" s="7" t="s">
        <v>9</v>
      </c>
      <c r="B9" s="8" t="s">
        <v>31</v>
      </c>
      <c r="C9" s="9">
        <v>60</v>
      </c>
      <c r="D9" s="8" t="s">
        <v>42</v>
      </c>
      <c r="E9" s="8" t="s">
        <v>47</v>
      </c>
      <c r="F9" s="10" t="s">
        <v>52</v>
      </c>
    </row>
    <row r="10" spans="1:6" x14ac:dyDescent="0.25">
      <c r="A10" s="7" t="s">
        <v>10</v>
      </c>
      <c r="B10" s="8" t="s">
        <v>17</v>
      </c>
      <c r="C10" s="9">
        <v>79900</v>
      </c>
      <c r="D10" s="8" t="s">
        <v>40</v>
      </c>
      <c r="E10" s="8" t="s">
        <v>45</v>
      </c>
      <c r="F10" s="10" t="s">
        <v>50</v>
      </c>
    </row>
    <row r="11" spans="1:6" x14ac:dyDescent="0.25">
      <c r="A11" s="7" t="s">
        <v>11</v>
      </c>
      <c r="B11" s="8" t="s">
        <v>18</v>
      </c>
      <c r="C11" s="9">
        <v>80</v>
      </c>
      <c r="D11" s="8" t="s">
        <v>41</v>
      </c>
      <c r="E11" s="8" t="s">
        <v>46</v>
      </c>
      <c r="F11" s="10" t="s">
        <v>52</v>
      </c>
    </row>
    <row r="12" spans="1:6" x14ac:dyDescent="0.25">
      <c r="A12" s="7" t="s">
        <v>12</v>
      </c>
      <c r="B12" s="8" t="s">
        <v>19</v>
      </c>
      <c r="C12" s="9">
        <v>55</v>
      </c>
      <c r="D12" s="8" t="s">
        <v>40</v>
      </c>
      <c r="E12" s="8" t="s">
        <v>45</v>
      </c>
      <c r="F12" s="10" t="s">
        <v>52</v>
      </c>
    </row>
    <row r="13" spans="1:6" x14ac:dyDescent="0.25">
      <c r="A13" s="7" t="s">
        <v>13</v>
      </c>
      <c r="B13" s="8" t="s">
        <v>16</v>
      </c>
      <c r="C13" s="9">
        <v>1500</v>
      </c>
      <c r="D13" s="8" t="s">
        <v>41</v>
      </c>
      <c r="E13" s="8" t="s">
        <v>46</v>
      </c>
      <c r="F13" s="10" t="s">
        <v>48</v>
      </c>
    </row>
    <row r="14" spans="1:6" x14ac:dyDescent="0.25">
      <c r="A14" s="7" t="s">
        <v>22</v>
      </c>
      <c r="B14" s="8" t="s">
        <v>20</v>
      </c>
      <c r="C14" s="9">
        <v>150</v>
      </c>
      <c r="D14" s="8" t="s">
        <v>42</v>
      </c>
      <c r="E14" s="8" t="s">
        <v>47</v>
      </c>
      <c r="F14" s="10" t="s">
        <v>51</v>
      </c>
    </row>
    <row r="15" spans="1:6" x14ac:dyDescent="0.25">
      <c r="A15" s="7" t="s">
        <v>23</v>
      </c>
      <c r="B15" s="8" t="s">
        <v>21</v>
      </c>
      <c r="C15" s="9">
        <v>750</v>
      </c>
      <c r="D15" s="8" t="s">
        <v>42</v>
      </c>
      <c r="E15" s="8" t="s">
        <v>47</v>
      </c>
      <c r="F15" s="10" t="s">
        <v>49</v>
      </c>
    </row>
    <row r="16" spans="1:6" x14ac:dyDescent="0.25">
      <c r="A16" s="7" t="s">
        <v>27</v>
      </c>
      <c r="B16" s="8" t="s">
        <v>24</v>
      </c>
      <c r="C16" s="9">
        <v>120</v>
      </c>
      <c r="D16" s="8" t="s">
        <v>40</v>
      </c>
      <c r="E16" s="8" t="s">
        <v>45</v>
      </c>
      <c r="F16" s="10" t="s">
        <v>48</v>
      </c>
    </row>
    <row r="17" spans="1:6" x14ac:dyDescent="0.25">
      <c r="A17" s="7" t="s">
        <v>28</v>
      </c>
      <c r="B17" s="8" t="s">
        <v>39</v>
      </c>
      <c r="C17" s="9">
        <v>180</v>
      </c>
      <c r="D17" s="8" t="s">
        <v>43</v>
      </c>
      <c r="E17" s="8" t="s">
        <v>46</v>
      </c>
      <c r="F17" s="10" t="s">
        <v>50</v>
      </c>
    </row>
    <row r="18" spans="1:6" x14ac:dyDescent="0.25">
      <c r="A18" s="7" t="s">
        <v>29</v>
      </c>
      <c r="B18" s="8" t="s">
        <v>25</v>
      </c>
      <c r="C18" s="9">
        <v>450</v>
      </c>
      <c r="D18" s="8" t="s">
        <v>44</v>
      </c>
      <c r="E18" s="8" t="s">
        <v>45</v>
      </c>
      <c r="F18" s="10" t="s">
        <v>52</v>
      </c>
    </row>
    <row r="19" spans="1:6" x14ac:dyDescent="0.25">
      <c r="A19" s="7" t="s">
        <v>30</v>
      </c>
      <c r="B19" s="8" t="s">
        <v>26</v>
      </c>
      <c r="C19" s="9">
        <v>70</v>
      </c>
      <c r="D19" s="8" t="s">
        <v>43</v>
      </c>
      <c r="E19" s="8" t="s">
        <v>46</v>
      </c>
      <c r="F19" s="10" t="s">
        <v>51</v>
      </c>
    </row>
    <row r="20" spans="1:6" x14ac:dyDescent="0.25">
      <c r="A20" s="7" t="s">
        <v>34</v>
      </c>
      <c r="B20" s="8" t="s">
        <v>32</v>
      </c>
      <c r="C20" s="9">
        <v>699</v>
      </c>
      <c r="D20" s="8" t="s">
        <v>44</v>
      </c>
      <c r="E20" s="8" t="s">
        <v>45</v>
      </c>
      <c r="F20" s="10" t="s">
        <v>49</v>
      </c>
    </row>
    <row r="21" spans="1:6" x14ac:dyDescent="0.25">
      <c r="A21" s="11" t="s">
        <v>35</v>
      </c>
      <c r="B21" s="12" t="s">
        <v>33</v>
      </c>
      <c r="C21" s="13">
        <v>599</v>
      </c>
      <c r="D21" s="12" t="s">
        <v>43</v>
      </c>
      <c r="E21" s="12" t="s">
        <v>46</v>
      </c>
      <c r="F21" s="14" t="s">
        <v>50</v>
      </c>
    </row>
    <row r="22" spans="1:6" x14ac:dyDescent="0.25">
      <c r="A22" s="5"/>
      <c r="B22" s="4" t="s">
        <v>55</v>
      </c>
      <c r="C22" s="6">
        <f>SUBTOTAL(9,Table1[Sales])</f>
        <v>147883</v>
      </c>
      <c r="D22" s="6"/>
    </row>
  </sheetData>
  <mergeCells count="1">
    <mergeCell ref="A2:F2"/>
  </mergeCells>
  <phoneticPr fontId="2" type="noConversion"/>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94AAA-1034-4202-BF3B-D8F9B8E307B5}">
  <dimension ref="A3:F13"/>
  <sheetViews>
    <sheetView workbookViewId="0">
      <selection activeCell="E19" sqref="E19"/>
    </sheetView>
  </sheetViews>
  <sheetFormatPr defaultRowHeight="15" x14ac:dyDescent="0.25"/>
  <cols>
    <col min="1" max="1" width="13.140625" bestFit="1" customWidth="1"/>
    <col min="2" max="2" width="14.7109375" bestFit="1" customWidth="1"/>
    <col min="3" max="3" width="18.5703125" bestFit="1" customWidth="1"/>
    <col min="4" max="4" width="13.28515625" bestFit="1" customWidth="1"/>
    <col min="5" max="5" width="17.42578125" bestFit="1" customWidth="1"/>
    <col min="6" max="6" width="16.42578125" bestFit="1" customWidth="1"/>
  </cols>
  <sheetData>
    <row r="3" spans="1:6" x14ac:dyDescent="0.25">
      <c r="A3" s="15" t="s">
        <v>61</v>
      </c>
      <c r="B3" t="s">
        <v>65</v>
      </c>
      <c r="C3" t="s">
        <v>66</v>
      </c>
      <c r="D3" t="s">
        <v>67</v>
      </c>
      <c r="E3" t="s">
        <v>68</v>
      </c>
      <c r="F3" t="s">
        <v>69</v>
      </c>
    </row>
    <row r="4" spans="1:6" x14ac:dyDescent="0.25">
      <c r="A4" s="16">
        <v>2017</v>
      </c>
      <c r="B4">
        <v>560000</v>
      </c>
      <c r="C4">
        <v>145000</v>
      </c>
      <c r="D4">
        <v>45000</v>
      </c>
      <c r="E4">
        <v>24500</v>
      </c>
      <c r="F4">
        <v>25000</v>
      </c>
    </row>
    <row r="5" spans="1:6" x14ac:dyDescent="0.25">
      <c r="A5" s="16">
        <v>2018</v>
      </c>
      <c r="B5">
        <v>250050</v>
      </c>
      <c r="C5">
        <v>56000</v>
      </c>
      <c r="D5">
        <v>8050</v>
      </c>
      <c r="E5">
        <v>7800</v>
      </c>
      <c r="F5">
        <v>20500</v>
      </c>
    </row>
    <row r="6" spans="1:6" x14ac:dyDescent="0.25">
      <c r="A6" s="16">
        <v>2019</v>
      </c>
      <c r="B6">
        <v>150050</v>
      </c>
      <c r="C6">
        <v>34500</v>
      </c>
      <c r="D6">
        <v>9000</v>
      </c>
      <c r="E6">
        <v>100500</v>
      </c>
      <c r="F6">
        <v>504000</v>
      </c>
    </row>
    <row r="7" spans="1:6" x14ac:dyDescent="0.25">
      <c r="A7" s="16">
        <v>2020</v>
      </c>
      <c r="B7">
        <v>87050</v>
      </c>
      <c r="C7">
        <v>23345</v>
      </c>
      <c r="D7">
        <v>1899</v>
      </c>
      <c r="E7">
        <v>50600</v>
      </c>
      <c r="F7">
        <v>680</v>
      </c>
    </row>
    <row r="8" spans="1:6" x14ac:dyDescent="0.25">
      <c r="A8" s="16">
        <v>2021</v>
      </c>
      <c r="B8">
        <v>56800</v>
      </c>
      <c r="C8">
        <v>9800</v>
      </c>
      <c r="D8">
        <v>23000</v>
      </c>
      <c r="E8">
        <v>5600</v>
      </c>
      <c r="F8">
        <v>3499</v>
      </c>
    </row>
    <row r="9" spans="1:6" x14ac:dyDescent="0.25">
      <c r="A9" s="16">
        <v>2022</v>
      </c>
      <c r="B9">
        <v>34700</v>
      </c>
      <c r="C9">
        <v>7500</v>
      </c>
      <c r="D9">
        <v>78005</v>
      </c>
      <c r="E9">
        <v>4800</v>
      </c>
      <c r="F9">
        <v>2700</v>
      </c>
    </row>
    <row r="10" spans="1:6" x14ac:dyDescent="0.25">
      <c r="A10" s="16">
        <v>2023</v>
      </c>
      <c r="B10">
        <v>32390</v>
      </c>
      <c r="C10">
        <v>1600</v>
      </c>
      <c r="D10">
        <v>5600</v>
      </c>
      <c r="E10">
        <v>1500</v>
      </c>
      <c r="F10">
        <v>20700</v>
      </c>
    </row>
    <row r="11" spans="1:6" x14ac:dyDescent="0.25">
      <c r="A11" s="16">
        <v>2024</v>
      </c>
      <c r="B11">
        <v>42100</v>
      </c>
      <c r="C11">
        <v>26500</v>
      </c>
      <c r="D11">
        <v>76000</v>
      </c>
      <c r="E11">
        <v>1890</v>
      </c>
      <c r="F11">
        <v>89000</v>
      </c>
    </row>
    <row r="12" spans="1:6" x14ac:dyDescent="0.25">
      <c r="A12" s="16">
        <v>2025</v>
      </c>
      <c r="B12">
        <v>21000</v>
      </c>
      <c r="C12">
        <v>35000</v>
      </c>
      <c r="D12">
        <v>950</v>
      </c>
      <c r="E12">
        <v>460</v>
      </c>
      <c r="F12">
        <v>3700</v>
      </c>
    </row>
    <row r="13" spans="1:6" x14ac:dyDescent="0.25">
      <c r="A13" s="16" t="s">
        <v>62</v>
      </c>
      <c r="B13">
        <v>1234140</v>
      </c>
      <c r="C13">
        <v>339245</v>
      </c>
      <c r="D13">
        <v>247504</v>
      </c>
      <c r="E13">
        <v>197650</v>
      </c>
      <c r="F13">
        <v>669779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B9FE7-65A7-4CD4-AD9A-E4B57D66B776}">
  <dimension ref="A3:F12"/>
  <sheetViews>
    <sheetView tabSelected="1" workbookViewId="0">
      <selection activeCell="H10" sqref="A1:XFD1048576"/>
    </sheetView>
  </sheetViews>
  <sheetFormatPr defaultRowHeight="15" x14ac:dyDescent="0.25"/>
  <cols>
    <col min="2" max="2" width="12.28515625" bestFit="1" customWidth="1"/>
    <col min="3" max="3" width="17" customWidth="1"/>
    <col min="4" max="4" width="10.7109375" bestFit="1" customWidth="1"/>
    <col min="5" max="5" width="14" customWidth="1"/>
    <col min="6" max="6" width="14.28515625" customWidth="1"/>
  </cols>
  <sheetData>
    <row r="3" spans="1:6" ht="18.75" x14ac:dyDescent="0.3">
      <c r="A3" s="25" t="s">
        <v>56</v>
      </c>
      <c r="B3" s="26" t="s">
        <v>57</v>
      </c>
      <c r="C3" s="26" t="s">
        <v>58</v>
      </c>
      <c r="D3" s="26" t="s">
        <v>59</v>
      </c>
      <c r="E3" s="26" t="s">
        <v>70</v>
      </c>
      <c r="F3" s="27" t="s">
        <v>60</v>
      </c>
    </row>
    <row r="4" spans="1:6" x14ac:dyDescent="0.25">
      <c r="A4" s="7">
        <v>2017</v>
      </c>
      <c r="B4" s="9">
        <v>560000</v>
      </c>
      <c r="C4" s="9">
        <v>145000</v>
      </c>
      <c r="D4" s="9">
        <v>45000</v>
      </c>
      <c r="E4" s="9">
        <v>24500</v>
      </c>
      <c r="F4" s="24">
        <v>25000</v>
      </c>
    </row>
    <row r="5" spans="1:6" x14ac:dyDescent="0.25">
      <c r="A5" s="7">
        <v>2018</v>
      </c>
      <c r="B5" s="9">
        <v>250050</v>
      </c>
      <c r="C5" s="9">
        <v>56000</v>
      </c>
      <c r="D5" s="9">
        <v>8050</v>
      </c>
      <c r="E5" s="9">
        <v>7800</v>
      </c>
      <c r="F5" s="24">
        <v>20500</v>
      </c>
    </row>
    <row r="6" spans="1:6" x14ac:dyDescent="0.25">
      <c r="A6" s="7">
        <v>2019</v>
      </c>
      <c r="B6" s="9">
        <v>150050</v>
      </c>
      <c r="C6" s="9">
        <v>34500</v>
      </c>
      <c r="D6" s="9">
        <v>9000</v>
      </c>
      <c r="E6" s="9">
        <v>100500</v>
      </c>
      <c r="F6" s="24">
        <v>504000</v>
      </c>
    </row>
    <row r="7" spans="1:6" x14ac:dyDescent="0.25">
      <c r="A7" s="7">
        <v>2020</v>
      </c>
      <c r="B7" s="9">
        <v>87050</v>
      </c>
      <c r="C7" s="9">
        <v>23345</v>
      </c>
      <c r="D7" s="9">
        <v>1899</v>
      </c>
      <c r="E7" s="9">
        <v>50600</v>
      </c>
      <c r="F7" s="24">
        <v>680</v>
      </c>
    </row>
    <row r="8" spans="1:6" x14ac:dyDescent="0.25">
      <c r="A8" s="7">
        <v>2021</v>
      </c>
      <c r="B8" s="9">
        <v>56800</v>
      </c>
      <c r="C8" s="9">
        <v>9800</v>
      </c>
      <c r="D8" s="9">
        <v>23000</v>
      </c>
      <c r="E8" s="9">
        <v>5600</v>
      </c>
      <c r="F8" s="24">
        <v>3499</v>
      </c>
    </row>
    <row r="9" spans="1:6" x14ac:dyDescent="0.25">
      <c r="A9" s="7">
        <v>2022</v>
      </c>
      <c r="B9" s="9">
        <v>34700</v>
      </c>
      <c r="C9" s="9">
        <v>7500</v>
      </c>
      <c r="D9" s="9">
        <v>78005</v>
      </c>
      <c r="E9" s="9">
        <v>4800</v>
      </c>
      <c r="F9" s="24">
        <v>2700</v>
      </c>
    </row>
    <row r="10" spans="1:6" x14ac:dyDescent="0.25">
      <c r="A10" s="7">
        <v>2023</v>
      </c>
      <c r="B10" s="9">
        <v>32390</v>
      </c>
      <c r="C10" s="9">
        <v>1600</v>
      </c>
      <c r="D10" s="9">
        <v>5600</v>
      </c>
      <c r="E10" s="9">
        <v>1500</v>
      </c>
      <c r="F10" s="24">
        <v>20700</v>
      </c>
    </row>
    <row r="11" spans="1:6" x14ac:dyDescent="0.25">
      <c r="A11" s="7">
        <v>2024</v>
      </c>
      <c r="B11" s="9">
        <v>42100</v>
      </c>
      <c r="C11" s="9">
        <v>26500</v>
      </c>
      <c r="D11" s="9">
        <v>76000</v>
      </c>
      <c r="E11" s="9">
        <v>1890</v>
      </c>
      <c r="F11" s="24">
        <v>89000</v>
      </c>
    </row>
    <row r="12" spans="1:6" x14ac:dyDescent="0.25">
      <c r="A12" s="11">
        <v>2025</v>
      </c>
      <c r="B12" s="13">
        <v>21000</v>
      </c>
      <c r="C12" s="13">
        <v>35000</v>
      </c>
      <c r="D12" s="13">
        <v>950</v>
      </c>
      <c r="E12" s="13">
        <v>460</v>
      </c>
      <c r="F12" s="28">
        <v>3700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Sheet4</vt:lpstr>
      <vt:lpstr>Sheet3</vt:lpstr>
      <vt:lpstr>MIS1</vt:lpstr>
      <vt:lpstr>pivotTable_and_Chart5</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DHAMAL OF TOTAL</cp:lastModifiedBy>
  <dcterms:created xsi:type="dcterms:W3CDTF">2026-09-24T16:39:59Z</dcterms:created>
  <dcterms:modified xsi:type="dcterms:W3CDTF">2026-09-29T07:02:11Z</dcterms:modified>
</cp:coreProperties>
</file>