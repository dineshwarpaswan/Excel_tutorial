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nditional_format\"/>
    </mc:Choice>
  </mc:AlternateContent>
  <xr:revisionPtr revIDLastSave="0" documentId="13_ncr:1_{0636BA53-2F60-4EF4-84C4-7E8EB05CD520}" xr6:coauthVersionLast="47" xr6:coauthVersionMax="47" xr10:uidLastSave="{00000000-0000-0000-0000-000000000000}"/>
  <bookViews>
    <workbookView xWindow="-120" yWindow="-120" windowWidth="20730" windowHeight="11160" xr2:uid="{99B41CF6-BA73-45CF-8297-56CE6C8EEA9F}"/>
  </bookViews>
  <sheets>
    <sheet name="Sheet2" sheetId="2" r:id="rId1"/>
    <sheet name="Sheet5" sheetId="5" r:id="rId2"/>
    <sheet name="Sheet4" sheetId="4" r:id="rId3"/>
    <sheet name="Sheet1" sheetId="1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E4" i="1"/>
  <c r="E5" i="1"/>
  <c r="E6" i="1"/>
  <c r="E7" i="1"/>
  <c r="E8" i="1"/>
  <c r="E9" i="1"/>
  <c r="E10" i="1"/>
  <c r="E11" i="1"/>
  <c r="E12" i="1"/>
  <c r="E13" i="1"/>
  <c r="E14" i="1"/>
  <c r="I14" i="1" s="1"/>
  <c r="E15" i="1"/>
  <c r="E16" i="1"/>
  <c r="E17" i="1"/>
  <c r="E3" i="1"/>
  <c r="J14" i="1" l="1"/>
  <c r="K14" i="1" s="1"/>
</calcChain>
</file>

<file path=xl/sharedStrings.xml><?xml version="1.0" encoding="utf-8"?>
<sst xmlns="http://schemas.openxmlformats.org/spreadsheetml/2006/main" count="114" uniqueCount="51">
  <si>
    <t>EMPLOYEE SALARY SHEET</t>
  </si>
  <si>
    <t>Emp ID</t>
  </si>
  <si>
    <t>Employee name</t>
  </si>
  <si>
    <t>Deparment</t>
  </si>
  <si>
    <t>Basic Salary</t>
  </si>
  <si>
    <t>HRA(40%)</t>
  </si>
  <si>
    <t>TA(5%)</t>
  </si>
  <si>
    <t>Over Amount</t>
  </si>
  <si>
    <t>PF(12%)</t>
  </si>
  <si>
    <t>Net Salary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</si>
  <si>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</si>
  <si>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</si>
  <si>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</si>
  <si>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</si>
  <si>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</si>
  <si>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</si>
  <si>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</si>
  <si>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</si>
  <si>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</si>
  <si>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</si>
  <si>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DINESHWAR PASWAN</t>
  </si>
  <si>
    <t>KIRISH KUMAR</t>
  </si>
  <si>
    <t>AMAN BHARTI</t>
  </si>
  <si>
    <t>ROHIT SARMA</t>
  </si>
  <si>
    <t>MANISH RAM</t>
  </si>
  <si>
    <t>AJAY MATHUR</t>
  </si>
  <si>
    <t>BINAY YADAV</t>
  </si>
  <si>
    <t>MOHIT SING</t>
  </si>
  <si>
    <t>Emp111</t>
  </si>
  <si>
    <t>Emp112</t>
  </si>
  <si>
    <t>Emp113</t>
  </si>
  <si>
    <t>Emp114</t>
  </si>
  <si>
    <t>Emp115</t>
  </si>
  <si>
    <t>KARAN RAM</t>
  </si>
  <si>
    <t>BAGAT PARSAD</t>
  </si>
  <si>
    <t>DEEPAK SHARMA</t>
  </si>
  <si>
    <t>FINANCE</t>
  </si>
  <si>
    <t xml:space="preserve">IT </t>
  </si>
  <si>
    <t>HR</t>
  </si>
  <si>
    <t>SALES</t>
  </si>
  <si>
    <t>IT</t>
  </si>
  <si>
    <t>TEAM LEADER</t>
  </si>
  <si>
    <t>TRAINNER</t>
  </si>
  <si>
    <t>OverTime(Hr=Rs.150)</t>
  </si>
  <si>
    <t>Gross Salary</t>
  </si>
  <si>
    <t>Row Labels</t>
  </si>
  <si>
    <t>Grand Total</t>
  </si>
  <si>
    <t>Sum of Basic Salary</t>
  </si>
  <si>
    <t>Sum of Net Salary</t>
  </si>
  <si>
    <t>Sum of Gross Salary</t>
  </si>
  <si>
    <t>Sum of PF(12%)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</si>
</sst>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Adobe Garamond Pro"/>
      <family val="1"/>
    </font>
  </fonts>
  <fills count="1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4" borderId="1" xfId="0" applyFill="1" applyBorder="1" applyAlignment="1">
      <alignment horizontal="left"/>
    </xf>
    <xf numFmtId="0" fontId="1" fillId="2" borderId="1" xfId="0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[employee_salary_sheet.xlsx]Sheet2!PivotTable1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IT </c:v>
                </c:pt>
                <c:pt idx="4">
                  <c:v>SALES</c:v>
                </c:pt>
                <c:pt idx="5">
                  <c:v>TEAM LEADER</c:v>
                </c:pt>
                <c:pt idx="6">
                  <c:v>TRAINNER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182776</c:v>
                </c:pt>
                <c:pt idx="1">
                  <c:v>154044</c:v>
                </c:pt>
                <c:pt idx="2">
                  <c:v>104412</c:v>
                </c:pt>
                <c:pt idx="3">
                  <c:v>70840</c:v>
                </c:pt>
                <c:pt idx="4">
                  <c:v>99220</c:v>
                </c:pt>
                <c:pt idx="5">
                  <c:v>127512</c:v>
                </c:pt>
                <c:pt idx="6">
                  <c:v>89232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1-4170-9BE4-A75A8D31AC5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PF(12%)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IT </c:v>
                </c:pt>
                <c:pt idx="4">
                  <c:v>SALES</c:v>
                </c:pt>
                <c:pt idx="5">
                  <c:v>TEAM LEADER</c:v>
                </c:pt>
                <c:pt idx="6">
                  <c:v>TRAINNER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24924</c:v>
                </c:pt>
                <c:pt idx="1">
                  <c:v>21006</c:v>
                </c:pt>
                <c:pt idx="2">
                  <c:v>14238</c:v>
                </c:pt>
                <c:pt idx="3">
                  <c:v>9660</c:v>
                </c:pt>
                <c:pt idx="4">
                  <c:v>13530</c:v>
                </c:pt>
                <c:pt idx="5">
                  <c:v>17388</c:v>
                </c:pt>
                <c:pt idx="6">
                  <c:v>12168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11-4170-9BE4-A75A8D31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460712"/>
        <c:axId val="443458088"/>
      </c:barChart>
      <c:catAx>
        <c:axId val="44346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8088"/>
        <c:crosses val="autoZero"/>
        <c:auto val="1"/>
        <c:lblAlgn val="ctr"/>
        <c:lblOffset val="100"/>
        <c:noMultiLvlLbl val="0"/>
      </c:catAx>
      <c:valAx>
        <c:axId val="44345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6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166687</xdr:rowOff>
    </xdr:from>
    <xdr:to>
      <xdr:col>7</xdr:col>
      <xdr:colOff>600075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C9F9E-999B-465A-BA93-B5B08E5FA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628650</xdr:colOff>
      <xdr:row>0</xdr:row>
      <xdr:rowOff>147637</xdr:rowOff>
    </xdr:from>
    <xdr:to>
      <xdr:col>14</xdr:col>
      <xdr:colOff>609600</xdr:colOff>
      <xdr:row>15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21145-A8CE-4ACC-B4A5-67E4496B8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89.242892361108" createdVersion="7" refreshedVersion="7" minRefreshableVersion="3" recordCount="15" xr:uid="{CF9933DD-9344-4360-9CD2-80598A47BBD2}">
  <cacheSource type="worksheet">
    <worksheetSource ref="A2:K17" sheet="Sheet1"/>
  </cacheSource>
  <cacheFields count="11">
    <cacheField name="Emp ID" numFmtId="0">
      <sharedItems count="15">
        <s v="Emp101"/>
        <s v="Emp102"/>
        <s v="Emp103"/>
        <s v="Emp104"/>
        <s v="Emp105"/>
        <s v="Emp106"/>
        <s v="Emp107"/>
        <s v="Emp108"/>
        <s v="Emp109"/>
        <s v="Emp110"/>
        <s v="Emp111"/>
        <s v="Emp112"/>
        <s v="Emp113"/>
        <s v="Emp114"/>
        <s v="Emp115"/>
      </sharedItems>
    </cacheField>
    <cacheField name="Employee name" numFmtId="0">
      <sharedItems count="11">
        <s v="DINESHWAR PASWAN"/>
        <s v="KIRISH KUMAR"/>
        <s v="AMAN BHARTI"/>
        <s v="ROHIT SARMA"/>
        <s v="MANISH RAM"/>
        <s v="AJAY MATHUR"/>
        <s v="BINAY YADAV"/>
        <s v="MOHIT SING"/>
        <s v="KARAN RAM"/>
        <s v="BAGAT PARSAD"/>
        <s v="DEEPAK SHARMA"/>
      </sharedItems>
    </cacheField>
    <cacheField name="Deparment" numFmtId="0">
      <sharedItems count="7">
        <s v="IT "/>
        <s v="HR"/>
        <s v="SALES"/>
        <s v="IT"/>
        <s v="FINANCE"/>
        <s v="TEAM LEADER"/>
        <s v="TRAINNER"/>
      </sharedItems>
    </cacheField>
    <cacheField name="Basic Salary" numFmtId="164">
      <sharedItems containsSemiMixedTypes="0" containsString="0" containsNumber="1" containsInteger="1" minValue="21000" maxValue="75000"/>
    </cacheField>
    <cacheField name="HRA(40%)" numFmtId="164">
      <sharedItems containsSemiMixedTypes="0" containsString="0" containsNumber="1" containsInteger="1" minValue="8400" maxValue="30000"/>
    </cacheField>
    <cacheField name="TA(5%)" numFmtId="164">
      <sharedItems containsSemiMixedTypes="0" containsString="0" containsNumber="1" containsInteger="1" minValue="1050" maxValue="3750"/>
    </cacheField>
    <cacheField name="OverTime(Hr=Rs.150)" numFmtId="0">
      <sharedItems containsSemiMixedTypes="0" containsString="0" containsNumber="1" containsInteger="1" minValue="1" maxValue="8"/>
    </cacheField>
    <cacheField name="Over Amount" numFmtId="164">
      <sharedItems containsSemiMixedTypes="0" containsString="0" containsNumber="1" containsInteger="1" minValue="150" maxValue="1200"/>
    </cacheField>
    <cacheField name="Gross Salary" numFmtId="164">
      <sharedItems containsSemiMixedTypes="0" containsString="0" containsNumber="1" containsInteger="1" minValue="30900" maxValue="109350" count="15">
        <n v="80500"/>
        <n v="65700"/>
        <n v="37150"/>
        <n v="65850"/>
        <n v="44700"/>
        <n v="52800"/>
        <n v="58900"/>
        <n v="65550"/>
        <n v="52950"/>
        <n v="40200"/>
        <n v="109350"/>
        <n v="30900"/>
        <n v="61200"/>
        <n v="95850"/>
        <n v="79350"/>
      </sharedItems>
    </cacheField>
    <cacheField name="PF(12%)" numFmtId="164">
      <sharedItems containsSemiMixedTypes="0" containsString="0" containsNumber="1" containsInteger="1" minValue="3708" maxValue="13122"/>
    </cacheField>
    <cacheField name="Net Salary" numFmtId="164">
      <sharedItems containsSemiMixedTypes="0" containsString="0" containsNumber="1" containsInteger="1" minValue="27192" maxValue="96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55000"/>
    <n v="22000"/>
    <n v="2750"/>
    <n v="5"/>
    <n v="750"/>
    <x v="0"/>
    <n v="9660"/>
    <n v="70840"/>
  </r>
  <r>
    <x v="1"/>
    <x v="1"/>
    <x v="1"/>
    <n v="45000"/>
    <n v="18000"/>
    <n v="2250"/>
    <n v="3"/>
    <n v="450"/>
    <x v="1"/>
    <n v="7884"/>
    <n v="57816"/>
  </r>
  <r>
    <x v="2"/>
    <x v="2"/>
    <x v="2"/>
    <n v="25000"/>
    <n v="10000"/>
    <n v="1250"/>
    <n v="6"/>
    <n v="900"/>
    <x v="2"/>
    <n v="4458"/>
    <n v="32692"/>
  </r>
  <r>
    <x v="3"/>
    <x v="3"/>
    <x v="3"/>
    <n v="45000"/>
    <n v="18000"/>
    <n v="2250"/>
    <n v="4"/>
    <n v="600"/>
    <x v="3"/>
    <n v="7902"/>
    <n v="57948"/>
  </r>
  <r>
    <x v="4"/>
    <x v="4"/>
    <x v="2"/>
    <n v="30000"/>
    <n v="12000"/>
    <n v="1500"/>
    <n v="8"/>
    <n v="1200"/>
    <x v="4"/>
    <n v="5364"/>
    <n v="39336"/>
  </r>
  <r>
    <x v="5"/>
    <x v="5"/>
    <x v="3"/>
    <n v="36000"/>
    <n v="14400"/>
    <n v="1800"/>
    <n v="4"/>
    <n v="600"/>
    <x v="5"/>
    <n v="6336"/>
    <n v="46464"/>
  </r>
  <r>
    <x v="6"/>
    <x v="6"/>
    <x v="4"/>
    <n v="40000"/>
    <n v="16000"/>
    <n v="2000"/>
    <n v="6"/>
    <n v="900"/>
    <x v="6"/>
    <n v="7068"/>
    <n v="51832"/>
  </r>
  <r>
    <x v="7"/>
    <x v="7"/>
    <x v="5"/>
    <n v="45000"/>
    <n v="18000"/>
    <n v="2250"/>
    <n v="2"/>
    <n v="300"/>
    <x v="7"/>
    <n v="7866"/>
    <n v="57684"/>
  </r>
  <r>
    <x v="8"/>
    <x v="3"/>
    <x v="4"/>
    <n v="36000"/>
    <n v="14400"/>
    <n v="1800"/>
    <n v="5"/>
    <n v="750"/>
    <x v="8"/>
    <n v="6354"/>
    <n v="46596"/>
  </r>
  <r>
    <x v="9"/>
    <x v="0"/>
    <x v="6"/>
    <n v="27000"/>
    <n v="10800"/>
    <n v="1350"/>
    <n v="7"/>
    <n v="1050"/>
    <x v="9"/>
    <n v="4824"/>
    <n v="35376"/>
  </r>
  <r>
    <x v="10"/>
    <x v="8"/>
    <x v="1"/>
    <n v="75000"/>
    <n v="30000"/>
    <n v="3750"/>
    <n v="4"/>
    <n v="600"/>
    <x v="10"/>
    <n v="13122"/>
    <n v="96228"/>
  </r>
  <r>
    <x v="11"/>
    <x v="4"/>
    <x v="2"/>
    <n v="21000"/>
    <n v="8400"/>
    <n v="1050"/>
    <n v="3"/>
    <n v="450"/>
    <x v="11"/>
    <n v="3708"/>
    <n v="27192"/>
  </r>
  <r>
    <x v="12"/>
    <x v="9"/>
    <x v="6"/>
    <n v="42000"/>
    <n v="16800"/>
    <n v="2100"/>
    <n v="2"/>
    <n v="300"/>
    <x v="12"/>
    <n v="7344"/>
    <n v="53856"/>
  </r>
  <r>
    <x v="13"/>
    <x v="7"/>
    <x v="4"/>
    <n v="66000"/>
    <n v="26400"/>
    <n v="3300"/>
    <n v="1"/>
    <n v="150"/>
    <x v="13"/>
    <n v="11502"/>
    <n v="84348"/>
  </r>
  <r>
    <x v="14"/>
    <x v="10"/>
    <x v="5"/>
    <n v="54000"/>
    <n v="21600"/>
    <n v="2700"/>
    <n v="7"/>
    <n v="1050"/>
    <x v="14"/>
    <n v="9522"/>
    <n v="698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1986B-5825-4E4D-803C-760016430FD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1" firstHeaderRow="0" firstDataRow="1" firstDataCol="1"/>
  <pivotFields count="11">
    <pivotField showAll="0"/>
    <pivotField showAll="0">
      <items count="12">
        <item x="5"/>
        <item x="2"/>
        <item x="9"/>
        <item x="6"/>
        <item x="10"/>
        <item x="0"/>
        <item x="8"/>
        <item x="1"/>
        <item x="4"/>
        <item x="7"/>
        <item x="3"/>
        <item t="default"/>
      </items>
    </pivotField>
    <pivotField axis="axisRow" showAll="0">
      <items count="8">
        <item x="4"/>
        <item x="1"/>
        <item x="3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16">
        <item x="11"/>
        <item x="2"/>
        <item x="9"/>
        <item x="4"/>
        <item x="5"/>
        <item x="8"/>
        <item x="6"/>
        <item x="12"/>
        <item x="7"/>
        <item x="1"/>
        <item x="3"/>
        <item x="14"/>
        <item x="0"/>
        <item x="13"/>
        <item x="10"/>
        <item t="default"/>
      </items>
    </pivotField>
    <pivotField dataField="1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ary" fld="10" baseField="0" baseItem="0"/>
    <dataField name="Sum of PF(12%)" fld="9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BDD1E-B6C9-48A3-ADCE-95B7CE94E0C5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25" firstHeaderRow="0" firstDataRow="1" firstDataCol="1"/>
  <pivotFields count="11">
    <pivotField showAll="0"/>
    <pivotField axis="axisRow" showAll="0">
      <items count="12">
        <item x="5"/>
        <item x="2"/>
        <item x="9"/>
        <item x="6"/>
        <item x="10"/>
        <item x="0"/>
        <item x="8"/>
        <item x="1"/>
        <item x="4"/>
        <item x="7"/>
        <item x="3"/>
        <item t="default"/>
      </items>
    </pivotField>
    <pivotField axis="axisRow" showAll="0">
      <items count="8">
        <item x="4"/>
        <item x="1"/>
        <item x="3"/>
        <item x="0"/>
        <item x="2"/>
        <item x="5"/>
        <item x="6"/>
        <item t="default"/>
      </items>
    </pivotField>
    <pivotField dataField="1" numFmtId="164" showAll="0"/>
    <pivotField numFmtId="164" showAll="0"/>
    <pivotField numFmtId="164" showAll="0"/>
    <pivotField showAll="0"/>
    <pivotField numFmtId="164" showAll="0"/>
    <pivotField dataField="1" numFmtId="164" showAll="0"/>
    <pivotField numFmtId="164" showAll="0"/>
    <pivotField dataField="1" numFmtId="164" showAll="0"/>
  </pivotFields>
  <rowFields count="2">
    <field x="2"/>
    <field x="1"/>
  </rowFields>
  <rowItems count="22">
    <i>
      <x/>
    </i>
    <i r="1">
      <x v="3"/>
    </i>
    <i r="1">
      <x v="9"/>
    </i>
    <i r="1">
      <x v="10"/>
    </i>
    <i>
      <x v="1"/>
    </i>
    <i r="1">
      <x v="6"/>
    </i>
    <i r="1">
      <x v="7"/>
    </i>
    <i>
      <x v="2"/>
    </i>
    <i r="1">
      <x/>
    </i>
    <i r="1">
      <x v="10"/>
    </i>
    <i>
      <x v="3"/>
    </i>
    <i r="1">
      <x v="5"/>
    </i>
    <i>
      <x v="4"/>
    </i>
    <i r="1">
      <x v="1"/>
    </i>
    <i r="1">
      <x v="8"/>
    </i>
    <i>
      <x v="5"/>
    </i>
    <i r="1">
      <x v="4"/>
    </i>
    <i r="1">
      <x v="9"/>
    </i>
    <i>
      <x v="6"/>
    </i>
    <i r="1">
      <x v="2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asic Salary" fld="3" baseField="0" baseItem="0"/>
    <dataField name="Sum of Gross Salary" fld="8" baseField="0" baseItem="0"/>
    <dataField name="Sum of Net Salary" fld="10" baseField="0" baseItem="0"/>
  </dataFields>
  <formats count="79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1" count="3">
            <x v="3"/>
            <x v="9"/>
            <x v="10"/>
          </reference>
          <reference field="2" count="1" selected="0">
            <x v="0"/>
          </reference>
        </references>
      </pivotArea>
    </format>
    <format dxfId="74">
      <pivotArea dataOnly="0" labelOnly="1" fieldPosition="0">
        <references count="2">
          <reference field="1" count="2">
            <x v="6"/>
            <x v="7"/>
          </reference>
          <reference field="2" count="1" selected="0">
            <x v="1"/>
          </reference>
        </references>
      </pivotArea>
    </format>
    <format dxfId="73">
      <pivotArea dataOnly="0" labelOnly="1" fieldPosition="0">
        <references count="2">
          <reference field="1" count="2">
            <x v="0"/>
            <x v="10"/>
          </reference>
          <reference field="2" count="1" selected="0">
            <x v="2"/>
          </reference>
        </references>
      </pivotArea>
    </format>
    <format dxfId="72">
      <pivotArea dataOnly="0" labelOnly="1" fieldPosition="0">
        <references count="2">
          <reference field="1" count="1">
            <x v="5"/>
          </reference>
          <reference field="2" count="1" selected="0">
            <x v="3"/>
          </reference>
        </references>
      </pivotArea>
    </format>
    <format dxfId="71">
      <pivotArea dataOnly="0" labelOnly="1" fieldPosition="0">
        <references count="2">
          <reference field="1" count="2">
            <x v="1"/>
            <x v="8"/>
          </reference>
          <reference field="2" count="1" selected="0">
            <x v="4"/>
          </reference>
        </references>
      </pivotArea>
    </format>
    <format dxfId="70">
      <pivotArea dataOnly="0" labelOnly="1" fieldPosition="0">
        <references count="2">
          <reference field="1" count="2">
            <x v="4"/>
            <x v="9"/>
          </reference>
          <reference field="2" count="1" selected="0">
            <x v="5"/>
          </reference>
        </references>
      </pivotArea>
    </format>
    <format dxfId="69">
      <pivotArea dataOnly="0" labelOnly="1" fieldPosition="0">
        <references count="2">
          <reference field="1" count="2">
            <x v="2"/>
            <x v="5"/>
          </reference>
          <reference field="2" count="1" selected="0">
            <x v="6"/>
          </reference>
        </references>
      </pivotArea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1" count="3">
            <x v="3"/>
            <x v="9"/>
            <x v="10"/>
          </reference>
          <reference field="2" count="1" selected="0">
            <x v="0"/>
          </reference>
        </references>
      </pivotArea>
    </format>
    <format dxfId="61">
      <pivotArea dataOnly="0" labelOnly="1" fieldPosition="0">
        <references count="2">
          <reference field="1" count="2">
            <x v="6"/>
            <x v="7"/>
          </reference>
          <reference field="2" count="1" selected="0">
            <x v="1"/>
          </reference>
        </references>
      </pivotArea>
    </format>
    <format dxfId="60">
      <pivotArea dataOnly="0" labelOnly="1" fieldPosition="0">
        <references count="2">
          <reference field="1" count="2">
            <x v="0"/>
            <x v="10"/>
          </reference>
          <reference field="2" count="1" selected="0">
            <x v="2"/>
          </reference>
        </references>
      </pivotArea>
    </format>
    <format dxfId="59">
      <pivotArea dataOnly="0" labelOnly="1" fieldPosition="0">
        <references count="2">
          <reference field="1" count="1">
            <x v="5"/>
          </reference>
          <reference field="2" count="1" selected="0">
            <x v="3"/>
          </reference>
        </references>
      </pivotArea>
    </format>
    <format dxfId="58">
      <pivotArea dataOnly="0" labelOnly="1" fieldPosition="0">
        <references count="2">
          <reference field="1" count="2">
            <x v="1"/>
            <x v="8"/>
          </reference>
          <reference field="2" count="1" selected="0">
            <x v="4"/>
          </reference>
        </references>
      </pivotArea>
    </format>
    <format dxfId="57">
      <pivotArea dataOnly="0" labelOnly="1" fieldPosition="0">
        <references count="2">
          <reference field="1" count="2">
            <x v="4"/>
            <x v="9"/>
          </reference>
          <reference field="2" count="1" selected="0">
            <x v="5"/>
          </reference>
        </references>
      </pivotArea>
    </format>
    <format dxfId="56">
      <pivotArea dataOnly="0" labelOnly="1" fieldPosition="0">
        <references count="2">
          <reference field="1" count="2">
            <x v="2"/>
            <x v="5"/>
          </reference>
          <reference field="2" count="1" selected="0">
            <x v="6"/>
          </reference>
        </references>
      </pivotArea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">
      <pivotArea field="2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field="2" type="button" dataOnly="0" labelOnly="1" outline="0" axis="axisRow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field="2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field="2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1" count="3">
            <x v="3"/>
            <x v="9"/>
            <x v="10"/>
          </reference>
          <reference field="2" count="1" selected="0">
            <x v="0"/>
          </reference>
        </references>
      </pivotArea>
    </format>
    <format dxfId="40">
      <pivotArea dataOnly="0" labelOnly="1" fieldPosition="0">
        <references count="2">
          <reference field="1" count="2">
            <x v="6"/>
            <x v="7"/>
          </reference>
          <reference field="2" count="1" selected="0">
            <x v="1"/>
          </reference>
        </references>
      </pivotArea>
    </format>
    <format dxfId="39">
      <pivotArea dataOnly="0" labelOnly="1" fieldPosition="0">
        <references count="2">
          <reference field="1" count="2">
            <x v="0"/>
            <x v="10"/>
          </reference>
          <reference field="2" count="1" selected="0">
            <x v="2"/>
          </reference>
        </references>
      </pivotArea>
    </format>
    <format dxfId="38">
      <pivotArea dataOnly="0" labelOnly="1" fieldPosition="0">
        <references count="2">
          <reference field="1" count="1">
            <x v="5"/>
          </reference>
          <reference field="2" count="1" selected="0">
            <x v="3"/>
          </reference>
        </references>
      </pivotArea>
    </format>
    <format dxfId="37">
      <pivotArea dataOnly="0" labelOnly="1" fieldPosition="0">
        <references count="2">
          <reference field="1" count="2">
            <x v="1"/>
            <x v="8"/>
          </reference>
          <reference field="2" count="1" selected="0">
            <x v="4"/>
          </reference>
        </references>
      </pivotArea>
    </format>
    <format dxfId="36">
      <pivotArea dataOnly="0" labelOnly="1" fieldPosition="0">
        <references count="2">
          <reference field="1" count="2">
            <x v="4"/>
            <x v="9"/>
          </reference>
          <reference field="2" count="1" selected="0">
            <x v="5"/>
          </reference>
        </references>
      </pivotArea>
    </format>
    <format dxfId="35">
      <pivotArea dataOnly="0" labelOnly="1" fieldPosition="0">
        <references count="2">
          <reference field="1" count="2">
            <x v="2"/>
            <x v="5"/>
          </reference>
          <reference field="2" count="1" selected="0">
            <x v="6"/>
          </reference>
        </references>
      </pivotArea>
    </format>
    <format dxfId="34">
      <pivotArea dataOnly="0" labelOnly="1" fieldPosition="0">
        <references count="1">
          <reference field="2" count="1">
            <x v="0"/>
          </reference>
        </references>
      </pivotArea>
    </format>
    <format dxfId="33">
      <pivotArea dataOnly="0" labelOnly="1" fieldPosition="0">
        <references count="1">
          <reference field="2" count="1">
            <x v="1"/>
          </reference>
        </references>
      </pivotArea>
    </format>
    <format dxfId="32">
      <pivotArea dataOnly="0" labelOnly="1" fieldPosition="0">
        <references count="1">
          <reference field="2" count="1">
            <x v="2"/>
          </reference>
        </references>
      </pivotArea>
    </format>
    <format dxfId="31">
      <pivotArea dataOnly="0" labelOnly="1" fieldPosition="0">
        <references count="1">
          <reference field="2" count="1">
            <x v="3"/>
          </reference>
        </references>
      </pivotArea>
    </format>
    <format dxfId="30">
      <pivotArea dataOnly="0" labelOnly="1" fieldPosition="0">
        <references count="1">
          <reference field="2" count="1">
            <x v="4"/>
          </reference>
        </references>
      </pivotArea>
    </format>
    <format dxfId="29">
      <pivotArea dataOnly="0" labelOnly="1" fieldPosition="0">
        <references count="1">
          <reference field="2" count="1">
            <x v="5"/>
          </reference>
        </references>
      </pivotArea>
    </format>
    <format dxfId="28">
      <pivotArea dataOnly="0" labelOnly="1" fieldPosition="0">
        <references count="1">
          <reference field="2" count="1">
            <x v="6"/>
          </reference>
        </references>
      </pivotArea>
    </format>
    <format dxfId="27">
      <pivotArea collapsedLevelsAreSubtotals="1" fieldPosition="0">
        <references count="1">
          <reference field="2" count="1">
            <x v="0"/>
          </reference>
        </references>
      </pivotArea>
    </format>
    <format dxfId="26">
      <pivotArea collapsedLevelsAreSubtotals="1" fieldPosition="0">
        <references count="2">
          <reference field="1" count="3">
            <x v="3"/>
            <x v="9"/>
            <x v="10"/>
          </reference>
          <reference field="2" count="1" selected="0">
            <x v="0"/>
          </reference>
        </references>
      </pivotArea>
    </format>
    <format dxfId="25">
      <pivotArea dataOnly="0" labelOnly="1" fieldPosition="0">
        <references count="1">
          <reference field="2" count="1">
            <x v="0"/>
          </reference>
        </references>
      </pivotArea>
    </format>
    <format dxfId="24">
      <pivotArea dataOnly="0" labelOnly="1" fieldPosition="0">
        <references count="2">
          <reference field="1" count="3">
            <x v="3"/>
            <x v="9"/>
            <x v="10"/>
          </reference>
          <reference field="2" count="1" selected="0">
            <x v="0"/>
          </reference>
        </references>
      </pivotArea>
    </format>
    <format dxfId="23">
      <pivotArea collapsedLevelsAreSubtotals="1" fieldPosition="0">
        <references count="1">
          <reference field="2" count="1">
            <x v="1"/>
          </reference>
        </references>
      </pivotArea>
    </format>
    <format dxfId="22">
      <pivotArea collapsedLevelsAreSubtotals="1" fieldPosition="0">
        <references count="2">
          <reference field="1" count="2">
            <x v="6"/>
            <x v="7"/>
          </reference>
          <reference field="2" count="1" selected="0">
            <x v="1"/>
          </reference>
        </references>
      </pivotArea>
    </format>
    <format dxfId="21">
      <pivotArea dataOnly="0" labelOnly="1" fieldPosition="0">
        <references count="1">
          <reference field="2" count="1">
            <x v="1"/>
          </reference>
        </references>
      </pivotArea>
    </format>
    <format dxfId="20">
      <pivotArea dataOnly="0" labelOnly="1" fieldPosition="0">
        <references count="2">
          <reference field="1" count="2">
            <x v="6"/>
            <x v="7"/>
          </reference>
          <reference field="2" count="1" selected="0">
            <x v="1"/>
          </reference>
        </references>
      </pivotArea>
    </format>
    <format dxfId="19">
      <pivotArea collapsedLevelsAreSubtotals="1" fieldPosition="0">
        <references count="1">
          <reference field="2" count="1">
            <x v="2"/>
          </reference>
        </references>
      </pivotArea>
    </format>
    <format dxfId="18">
      <pivotArea collapsedLevelsAreSubtotals="1" fieldPosition="0">
        <references count="2">
          <reference field="1" count="2">
            <x v="0"/>
            <x v="10"/>
          </reference>
          <reference field="2" count="1" selected="0">
            <x v="2"/>
          </reference>
        </references>
      </pivotArea>
    </format>
    <format dxfId="17">
      <pivotArea dataOnly="0" labelOnly="1" fieldPosition="0">
        <references count="1">
          <reference field="2" count="1">
            <x v="2"/>
          </reference>
        </references>
      </pivotArea>
    </format>
    <format dxfId="16">
      <pivotArea dataOnly="0" labelOnly="1" fieldPosition="0">
        <references count="2">
          <reference field="1" count="2">
            <x v="0"/>
            <x v="10"/>
          </reference>
          <reference field="2" count="1" selected="0">
            <x v="2"/>
          </reference>
        </references>
      </pivotArea>
    </format>
    <format dxfId="15">
      <pivotArea collapsedLevelsAreSubtotals="1" fieldPosition="0">
        <references count="1">
          <reference field="2" count="1">
            <x v="4"/>
          </reference>
        </references>
      </pivotArea>
    </format>
    <format dxfId="14">
      <pivotArea collapsedLevelsAreSubtotals="1" fieldPosition="0">
        <references count="2">
          <reference field="1" count="2">
            <x v="1"/>
            <x v="8"/>
          </reference>
          <reference field="2" count="1" selected="0">
            <x v="4"/>
          </reference>
        </references>
      </pivotArea>
    </format>
    <format dxfId="13">
      <pivotArea dataOnly="0" labelOnly="1" fieldPosition="0">
        <references count="1">
          <reference field="2" count="1">
            <x v="4"/>
          </reference>
        </references>
      </pivotArea>
    </format>
    <format dxfId="12">
      <pivotArea dataOnly="0" labelOnly="1" fieldPosition="0">
        <references count="2">
          <reference field="1" count="2">
            <x v="1"/>
            <x v="8"/>
          </reference>
          <reference field="2" count="1" selected="0">
            <x v="4"/>
          </reference>
        </references>
      </pivotArea>
    </format>
    <format dxfId="11">
      <pivotArea collapsedLevelsAreSubtotals="1" fieldPosition="0">
        <references count="1">
          <reference field="2" count="1">
            <x v="5"/>
          </reference>
        </references>
      </pivotArea>
    </format>
    <format dxfId="10">
      <pivotArea collapsedLevelsAreSubtotals="1" fieldPosition="0">
        <references count="2">
          <reference field="1" count="2">
            <x v="4"/>
            <x v="9"/>
          </reference>
          <reference field="2" count="1" selected="0">
            <x v="5"/>
          </reference>
        </references>
      </pivotArea>
    </format>
    <format dxfId="9">
      <pivotArea dataOnly="0" labelOnly="1" fieldPosition="0">
        <references count="1">
          <reference field="2" count="1">
            <x v="5"/>
          </reference>
        </references>
      </pivotArea>
    </format>
    <format dxfId="8">
      <pivotArea dataOnly="0" labelOnly="1" fieldPosition="0">
        <references count="2">
          <reference field="1" count="2">
            <x v="4"/>
            <x v="9"/>
          </reference>
          <reference field="2" count="1" selected="0">
            <x v="5"/>
          </reference>
        </references>
      </pivotArea>
    </format>
    <format dxfId="7">
      <pivotArea collapsedLevelsAreSubtotals="1" fieldPosition="0">
        <references count="1">
          <reference field="2" count="1">
            <x v="6"/>
          </reference>
        </references>
      </pivotArea>
    </format>
    <format dxfId="6">
      <pivotArea collapsedLevelsAreSubtotals="1" fieldPosition="0">
        <references count="2">
          <reference field="1" count="2">
            <x v="2"/>
            <x v="5"/>
          </reference>
          <reference field="2" count="1" selected="0">
            <x v="6"/>
          </reference>
        </references>
      </pivotArea>
    </format>
    <format dxfId="5">
      <pivotArea grandRow="1" outline="0" collapsedLevelsAreSubtotals="1" fieldPosition="0"/>
    </format>
    <format dxfId="4">
      <pivotArea dataOnly="0" labelOnly="1" fieldPosition="0">
        <references count="1">
          <reference field="2" count="1">
            <x v="6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1" count="2">
            <x v="2"/>
            <x v="5"/>
          </reference>
          <reference field="2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1B8B3C-0F06-43C7-A929-E7A24A90A3E3}" name="Table2" displayName="Table2" ref="A1:K4" totalsRowShown="0" dataDxfId="92">
  <autoFilter ref="A1:K4" xr:uid="{291B8B3C-0F06-43C7-A929-E7A24A90A3E3}"/>
  <tableColumns count="11">
    <tableColumn id="1" xr3:uid="{71B5223C-B9FB-483C-A91A-0973CD32260E}" name="Emp ID" dataDxfId="91"/>
    <tableColumn id="2" xr3:uid="{C6E0A281-5F4E-4A0C-B32E-A13BE98F1296}" name="Employee name" dataDxfId="90"/>
    <tableColumn id="3" xr3:uid="{7365665B-ED01-4FD1-9CEE-0BED89417A3F}" name="Deparment" dataDxfId="89"/>
    <tableColumn id="4" xr3:uid="{A8BCFB3F-ADEC-4573-A35B-C4E49E066CE4}" name="Basic Salary" dataDxfId="88"/>
    <tableColumn id="5" xr3:uid="{88A897E7-3BC3-449D-B0ED-7771D741C828}" name="HRA(40%)" dataDxfId="87"/>
    <tableColumn id="6" xr3:uid="{958EB5C3-E857-4E44-8837-3263CC76732B}" name="TA(5%)" dataDxfId="86"/>
    <tableColumn id="7" xr3:uid="{C0035AA4-DD71-4378-8C54-370045B59F2A}" name="OverTime(Hr=Rs.150)" dataDxfId="85"/>
    <tableColumn id="8" xr3:uid="{977A6EFA-291D-4B61-B4B3-BC2806D9A546}" name="Over Amount" dataDxfId="84"/>
    <tableColumn id="9" xr3:uid="{EE4827A3-CE01-4542-B4C1-3D8FA23C2C3C}" name="Gross Salary" dataDxfId="83"/>
    <tableColumn id="10" xr3:uid="{B8D792F9-848E-4E20-9778-ECCC8CD8A975}" name="PF(12%)" dataDxfId="82"/>
    <tableColumn id="11" xr3:uid="{BDE49F82-87FC-4423-AC79-17A2F1B87F0A}" name="Net Salary" dataDxfId="8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FB61-99F8-4B86-8D6C-1026C4E7AB1D}">
  <dimension ref="A3:C11"/>
  <sheetViews>
    <sheetView tabSelected="1" workbookViewId="0">
      <selection activeCell="G18" sqref="G18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4.85546875" bestFit="1" customWidth="1"/>
    <col min="4" max="4" width="18" bestFit="1" customWidth="1"/>
    <col min="5" max="5" width="6" bestFit="1" customWidth="1"/>
    <col min="6" max="6" width="6.140625" bestFit="1" customWidth="1"/>
    <col min="7" max="7" width="13.28515625" bestFit="1" customWidth="1"/>
    <col min="8" max="8" width="10" bestFit="1" customWidth="1"/>
    <col min="9" max="9" width="18.5703125" bestFit="1" customWidth="1"/>
    <col min="10" max="11" width="7" bestFit="1" customWidth="1"/>
    <col min="12" max="12" width="6" bestFit="1" customWidth="1"/>
    <col min="13" max="13" width="7" bestFit="1" customWidth="1"/>
    <col min="14" max="14" width="13.28515625" bestFit="1" customWidth="1"/>
    <col min="15" max="15" width="10" bestFit="1" customWidth="1"/>
    <col min="16" max="16" width="16.7109375" bestFit="1" customWidth="1"/>
    <col min="17" max="18" width="7" bestFit="1" customWidth="1"/>
    <col min="19" max="19" width="6" bestFit="1" customWidth="1"/>
    <col min="20" max="20" width="6.140625" bestFit="1" customWidth="1"/>
    <col min="21" max="21" width="13.28515625" bestFit="1" customWidth="1"/>
    <col min="22" max="22" width="10" bestFit="1" customWidth="1"/>
    <col min="23" max="23" width="23" bestFit="1" customWidth="1"/>
    <col min="24" max="24" width="23.5703125" bestFit="1" customWidth="1"/>
    <col min="25" max="25" width="21.85546875" bestFit="1" customWidth="1"/>
  </cols>
  <sheetData>
    <row r="3" spans="1:3" x14ac:dyDescent="0.25">
      <c r="A3" s="22" t="s">
        <v>45</v>
      </c>
      <c r="B3" t="s">
        <v>48</v>
      </c>
      <c r="C3" t="s">
        <v>50</v>
      </c>
    </row>
    <row r="4" spans="1:3" x14ac:dyDescent="0.25">
      <c r="A4" s="23" t="s">
        <v>36</v>
      </c>
      <c r="B4" s="24">
        <v>182776</v>
      </c>
      <c r="C4" s="24">
        <v>24924</v>
      </c>
    </row>
    <row r="5" spans="1:3" x14ac:dyDescent="0.25">
      <c r="A5" s="23" t="s">
        <v>38</v>
      </c>
      <c r="B5" s="24">
        <v>154044</v>
      </c>
      <c r="C5" s="24">
        <v>21006</v>
      </c>
    </row>
    <row r="6" spans="1:3" x14ac:dyDescent="0.25">
      <c r="A6" s="23" t="s">
        <v>40</v>
      </c>
      <c r="B6" s="24">
        <v>104412</v>
      </c>
      <c r="C6" s="24">
        <v>14238</v>
      </c>
    </row>
    <row r="7" spans="1:3" x14ac:dyDescent="0.25">
      <c r="A7" s="23" t="s">
        <v>37</v>
      </c>
      <c r="B7" s="24">
        <v>70840</v>
      </c>
      <c r="C7" s="24">
        <v>9660</v>
      </c>
    </row>
    <row r="8" spans="1:3" x14ac:dyDescent="0.25">
      <c r="A8" s="23" t="s">
        <v>39</v>
      </c>
      <c r="B8" s="24">
        <v>99220</v>
      </c>
      <c r="C8" s="24">
        <v>13530</v>
      </c>
    </row>
    <row r="9" spans="1:3" x14ac:dyDescent="0.25">
      <c r="A9" s="23" t="s">
        <v>41</v>
      </c>
      <c r="B9" s="24">
        <v>127512</v>
      </c>
      <c r="C9" s="24">
        <v>17388</v>
      </c>
    </row>
    <row r="10" spans="1:3" x14ac:dyDescent="0.25">
      <c r="A10" s="23" t="s">
        <v>42</v>
      </c>
      <c r="B10" s="24">
        <v>89232</v>
      </c>
      <c r="C10" s="24">
        <v>12168</v>
      </c>
    </row>
    <row r="11" spans="1:3" x14ac:dyDescent="0.25">
      <c r="A11" s="23" t="s">
        <v>46</v>
      </c>
      <c r="B11" s="24">
        <v>828036</v>
      </c>
      <c r="C11" s="24">
        <v>112914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06D0-6280-41FD-B6AE-D3DB14C99CEE}">
  <dimension ref="A1:K4"/>
  <sheetViews>
    <sheetView workbookViewId="0">
      <selection activeCell="C9" sqref="C9"/>
    </sheetView>
  </sheetViews>
  <sheetFormatPr defaultRowHeight="15" x14ac:dyDescent="0.25"/>
  <cols>
    <col min="1" max="1" width="9.28515625" customWidth="1"/>
    <col min="2" max="2" width="17.42578125" customWidth="1"/>
    <col min="3" max="3" width="13.140625" customWidth="1"/>
    <col min="4" max="4" width="13.28515625" customWidth="1"/>
    <col min="5" max="5" width="11.85546875" customWidth="1"/>
    <col min="6" max="6" width="9.42578125" customWidth="1"/>
    <col min="7" max="7" width="21.85546875" customWidth="1"/>
    <col min="8" max="8" width="15" customWidth="1"/>
    <col min="9" max="9" width="13.85546875" customWidth="1"/>
    <col min="10" max="10" width="10.28515625" customWidth="1"/>
    <col min="11" max="11" width="12.14062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43</v>
      </c>
      <c r="H1" t="s">
        <v>7</v>
      </c>
      <c r="I1" t="s">
        <v>44</v>
      </c>
      <c r="J1" t="s">
        <v>8</v>
      </c>
      <c r="K1" t="s">
        <v>9</v>
      </c>
    </row>
    <row r="2" spans="1:11" x14ac:dyDescent="0.25">
      <c r="A2" s="1" t="s">
        <v>16</v>
      </c>
      <c r="B2" s="1" t="s">
        <v>26</v>
      </c>
      <c r="C2" s="1" t="s">
        <v>36</v>
      </c>
      <c r="D2" s="1">
        <v>40000</v>
      </c>
      <c r="E2" s="1">
        <v>16000</v>
      </c>
      <c r="F2" s="1">
        <v>2000</v>
      </c>
      <c r="G2" s="1">
        <v>6</v>
      </c>
      <c r="H2" s="1">
        <v>900</v>
      </c>
      <c r="I2" s="1">
        <v>58900</v>
      </c>
      <c r="J2" s="1">
        <v>7068</v>
      </c>
      <c r="K2" s="1">
        <v>51832</v>
      </c>
    </row>
    <row r="3" spans="1:11" x14ac:dyDescent="0.25">
      <c r="A3" s="1" t="s">
        <v>31</v>
      </c>
      <c r="B3" s="1" t="s">
        <v>27</v>
      </c>
      <c r="C3" s="1" t="s">
        <v>36</v>
      </c>
      <c r="D3" s="1">
        <v>66000</v>
      </c>
      <c r="E3" s="1">
        <v>26400</v>
      </c>
      <c r="F3" s="1">
        <v>3300</v>
      </c>
      <c r="G3" s="1">
        <v>1</v>
      </c>
      <c r="H3" s="1">
        <v>150</v>
      </c>
      <c r="I3" s="1">
        <v>95850</v>
      </c>
      <c r="J3" s="1">
        <v>11502</v>
      </c>
      <c r="K3" s="1">
        <v>84348</v>
      </c>
    </row>
    <row r="4" spans="1:11" x14ac:dyDescent="0.25">
      <c r="A4" s="1" t="s">
        <v>18</v>
      </c>
      <c r="B4" s="1" t="s">
        <v>23</v>
      </c>
      <c r="C4" s="1" t="s">
        <v>36</v>
      </c>
      <c r="D4" s="1">
        <v>36000</v>
      </c>
      <c r="E4" s="1">
        <v>14400</v>
      </c>
      <c r="F4" s="1">
        <v>1800</v>
      </c>
      <c r="G4" s="1">
        <v>5</v>
      </c>
      <c r="H4" s="1">
        <v>750</v>
      </c>
      <c r="I4" s="1">
        <v>52950</v>
      </c>
      <c r="J4" s="1">
        <v>6354</v>
      </c>
      <c r="K4" s="1">
        <v>46596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3DAC-F678-455C-B1C5-7E1A32ED7464}">
  <dimension ref="A3:D25"/>
  <sheetViews>
    <sheetView topLeftCell="A8" workbookViewId="0">
      <selection activeCell="F18" sqref="F18"/>
    </sheetView>
  </sheetViews>
  <sheetFormatPr defaultRowHeight="15" x14ac:dyDescent="0.25"/>
  <cols>
    <col min="1" max="1" width="24.42578125" bestFit="1" customWidth="1"/>
    <col min="2" max="2" width="23.28515625" bestFit="1" customWidth="1"/>
    <col min="3" max="3" width="23.85546875" bestFit="1" customWidth="1"/>
    <col min="4" max="4" width="21.7109375" bestFit="1" customWidth="1"/>
  </cols>
  <sheetData>
    <row r="3" spans="1:4" ht="18.75" x14ac:dyDescent="0.3">
      <c r="A3" s="7" t="s">
        <v>45</v>
      </c>
      <c r="B3" s="7" t="s">
        <v>47</v>
      </c>
      <c r="C3" s="7" t="s">
        <v>49</v>
      </c>
      <c r="D3" s="7" t="s">
        <v>48</v>
      </c>
    </row>
    <row r="4" spans="1:4" x14ac:dyDescent="0.25">
      <c r="A4" s="9" t="s">
        <v>36</v>
      </c>
      <c r="B4" s="10">
        <v>142000</v>
      </c>
      <c r="C4" s="10">
        <v>207700</v>
      </c>
      <c r="D4" s="10">
        <v>182776</v>
      </c>
    </row>
    <row r="5" spans="1:4" x14ac:dyDescent="0.25">
      <c r="A5" s="10" t="s">
        <v>26</v>
      </c>
      <c r="B5" s="10">
        <v>40000</v>
      </c>
      <c r="C5" s="10">
        <v>58900</v>
      </c>
      <c r="D5" s="10">
        <v>51832</v>
      </c>
    </row>
    <row r="6" spans="1:4" x14ac:dyDescent="0.25">
      <c r="A6" s="10" t="s">
        <v>27</v>
      </c>
      <c r="B6" s="10">
        <v>66000</v>
      </c>
      <c r="C6" s="10">
        <v>95850</v>
      </c>
      <c r="D6" s="10">
        <v>84348</v>
      </c>
    </row>
    <row r="7" spans="1:4" x14ac:dyDescent="0.25">
      <c r="A7" s="10" t="s">
        <v>23</v>
      </c>
      <c r="B7" s="10">
        <v>36000</v>
      </c>
      <c r="C7" s="10">
        <v>52950</v>
      </c>
      <c r="D7" s="10">
        <v>46596</v>
      </c>
    </row>
    <row r="8" spans="1:4" x14ac:dyDescent="0.25">
      <c r="A8" s="11" t="s">
        <v>38</v>
      </c>
      <c r="B8" s="12">
        <v>120000</v>
      </c>
      <c r="C8" s="12">
        <v>175050</v>
      </c>
      <c r="D8" s="12">
        <v>154044</v>
      </c>
    </row>
    <row r="9" spans="1:4" x14ac:dyDescent="0.25">
      <c r="A9" s="12" t="s">
        <v>33</v>
      </c>
      <c r="B9" s="12">
        <v>75000</v>
      </c>
      <c r="C9" s="12">
        <v>109350</v>
      </c>
      <c r="D9" s="12">
        <v>96228</v>
      </c>
    </row>
    <row r="10" spans="1:4" x14ac:dyDescent="0.25">
      <c r="A10" s="12" t="s">
        <v>21</v>
      </c>
      <c r="B10" s="12">
        <v>45000</v>
      </c>
      <c r="C10" s="12">
        <v>65700</v>
      </c>
      <c r="D10" s="12">
        <v>57816</v>
      </c>
    </row>
    <row r="11" spans="1:4" x14ac:dyDescent="0.25">
      <c r="A11" s="13" t="s">
        <v>40</v>
      </c>
      <c r="B11" s="14">
        <v>81000</v>
      </c>
      <c r="C11" s="14">
        <v>118650</v>
      </c>
      <c r="D11" s="14">
        <v>104412</v>
      </c>
    </row>
    <row r="12" spans="1:4" x14ac:dyDescent="0.25">
      <c r="A12" s="14" t="s">
        <v>25</v>
      </c>
      <c r="B12" s="14">
        <v>36000</v>
      </c>
      <c r="C12" s="14">
        <v>52800</v>
      </c>
      <c r="D12" s="14">
        <v>46464</v>
      </c>
    </row>
    <row r="13" spans="1:4" x14ac:dyDescent="0.25">
      <c r="A13" s="14" t="s">
        <v>23</v>
      </c>
      <c r="B13" s="14">
        <v>45000</v>
      </c>
      <c r="C13" s="14">
        <v>65850</v>
      </c>
      <c r="D13" s="14">
        <v>57948</v>
      </c>
    </row>
    <row r="14" spans="1:4" x14ac:dyDescent="0.25">
      <c r="A14" s="6" t="s">
        <v>37</v>
      </c>
      <c r="B14" s="8">
        <v>55000</v>
      </c>
      <c r="C14" s="8">
        <v>80500</v>
      </c>
      <c r="D14" s="8">
        <v>70840</v>
      </c>
    </row>
    <row r="15" spans="1:4" x14ac:dyDescent="0.25">
      <c r="A15" s="8" t="s">
        <v>20</v>
      </c>
      <c r="B15" s="8">
        <v>55000</v>
      </c>
      <c r="C15" s="8">
        <v>80500</v>
      </c>
      <c r="D15" s="8">
        <v>70840</v>
      </c>
    </row>
    <row r="16" spans="1:4" x14ac:dyDescent="0.25">
      <c r="A16" s="15" t="s">
        <v>39</v>
      </c>
      <c r="B16" s="16">
        <v>76000</v>
      </c>
      <c r="C16" s="16">
        <v>112750</v>
      </c>
      <c r="D16" s="16">
        <v>99220</v>
      </c>
    </row>
    <row r="17" spans="1:4" x14ac:dyDescent="0.25">
      <c r="A17" s="16" t="s">
        <v>22</v>
      </c>
      <c r="B17" s="16">
        <v>25000</v>
      </c>
      <c r="C17" s="16">
        <v>37150</v>
      </c>
      <c r="D17" s="16">
        <v>32692</v>
      </c>
    </row>
    <row r="18" spans="1:4" x14ac:dyDescent="0.25">
      <c r="A18" s="16" t="s">
        <v>24</v>
      </c>
      <c r="B18" s="16">
        <v>51000</v>
      </c>
      <c r="C18" s="16">
        <v>75600</v>
      </c>
      <c r="D18" s="16">
        <v>66528</v>
      </c>
    </row>
    <row r="19" spans="1:4" x14ac:dyDescent="0.25">
      <c r="A19" s="17" t="s">
        <v>41</v>
      </c>
      <c r="B19" s="18">
        <v>99000</v>
      </c>
      <c r="C19" s="18">
        <v>144900</v>
      </c>
      <c r="D19" s="18">
        <v>127512</v>
      </c>
    </row>
    <row r="20" spans="1:4" x14ac:dyDescent="0.25">
      <c r="A20" s="18" t="s">
        <v>35</v>
      </c>
      <c r="B20" s="18">
        <v>54000</v>
      </c>
      <c r="C20" s="18">
        <v>79350</v>
      </c>
      <c r="D20" s="18">
        <v>69828</v>
      </c>
    </row>
    <row r="21" spans="1:4" x14ac:dyDescent="0.25">
      <c r="A21" s="18" t="s">
        <v>27</v>
      </c>
      <c r="B21" s="18">
        <v>45000</v>
      </c>
      <c r="C21" s="18">
        <v>65550</v>
      </c>
      <c r="D21" s="18">
        <v>57684</v>
      </c>
    </row>
    <row r="22" spans="1:4" x14ac:dyDescent="0.25">
      <c r="A22" s="19" t="s">
        <v>42</v>
      </c>
      <c r="B22" s="20">
        <v>69000</v>
      </c>
      <c r="C22" s="20">
        <v>101400</v>
      </c>
      <c r="D22" s="20">
        <v>89232</v>
      </c>
    </row>
    <row r="23" spans="1:4" x14ac:dyDescent="0.25">
      <c r="A23" s="20" t="s">
        <v>34</v>
      </c>
      <c r="B23" s="20">
        <v>42000</v>
      </c>
      <c r="C23" s="20">
        <v>61200</v>
      </c>
      <c r="D23" s="20">
        <v>53856</v>
      </c>
    </row>
    <row r="24" spans="1:4" x14ac:dyDescent="0.25">
      <c r="A24" s="20" t="s">
        <v>20</v>
      </c>
      <c r="B24" s="20">
        <v>27000</v>
      </c>
      <c r="C24" s="20">
        <v>40200</v>
      </c>
      <c r="D24" s="20">
        <v>35376</v>
      </c>
    </row>
    <row r="25" spans="1:4" x14ac:dyDescent="0.25">
      <c r="A25" s="20" t="s">
        <v>46</v>
      </c>
      <c r="B25" s="20">
        <v>642000</v>
      </c>
      <c r="C25" s="20">
        <v>940950</v>
      </c>
      <c r="D25" s="20">
        <v>828036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A719-EF11-43FA-A7AE-7E8FD6781526}">
  <dimension ref="A1:K17"/>
  <sheetViews>
    <sheetView workbookViewId="0">
      <selection activeCell="D21" sqref="D21"/>
    </sheetView>
  </sheetViews>
  <sheetFormatPr defaultRowHeight="15" x14ac:dyDescent="0.25"/>
  <cols>
    <col min="2" max="2" width="20.5703125" bestFit="1" customWidth="1"/>
    <col min="3" max="3" width="13.140625" bestFit="1" customWidth="1"/>
    <col min="4" max="4" width="12.42578125" bestFit="1" customWidth="1"/>
    <col min="5" max="5" width="10.5703125" bestFit="1" customWidth="1"/>
    <col min="6" max="6" width="9.7109375" bestFit="1" customWidth="1"/>
    <col min="7" max="7" width="21.85546875" bestFit="1" customWidth="1"/>
    <col min="8" max="8" width="14.42578125" bestFit="1" customWidth="1"/>
    <col min="9" max="9" width="12.85546875" bestFit="1" customWidth="1"/>
    <col min="10" max="11" width="11.140625" bestFit="1" customWidth="1"/>
  </cols>
  <sheetData>
    <row r="1" spans="1:11" ht="28.5" x14ac:dyDescent="0.5500000000000000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43</v>
      </c>
      <c r="H2" s="2" t="s">
        <v>7</v>
      </c>
      <c r="I2" s="2" t="s">
        <v>44</v>
      </c>
      <c r="J2" s="2" t="s">
        <v>8</v>
      </c>
      <c r="K2" s="2" t="s">
        <v>9</v>
      </c>
    </row>
    <row r="3" spans="1:11" x14ac:dyDescent="0.25">
      <c r="A3" s="3" t="s">
        <v>10</v>
      </c>
      <c r="B3" s="3" t="s">
        <v>20</v>
      </c>
      <c r="C3" s="3" t="s">
        <v>37</v>
      </c>
      <c r="D3" s="4">
        <v>55000</v>
      </c>
      <c r="E3" s="4">
        <f>D3*40%</f>
        <v>22000</v>
      </c>
      <c r="F3" s="4">
        <f>D3*5%</f>
        <v>2750</v>
      </c>
      <c r="G3" s="3">
        <v>5</v>
      </c>
      <c r="H3" s="4">
        <f>G3*150</f>
        <v>750</v>
      </c>
      <c r="I3" s="4">
        <f>SUM(D3,E3,F3,H3)</f>
        <v>80500</v>
      </c>
      <c r="J3" s="4">
        <f>I3*12%</f>
        <v>9660</v>
      </c>
      <c r="K3" s="5">
        <f>I3-J3</f>
        <v>70840</v>
      </c>
    </row>
    <row r="4" spans="1:11" x14ac:dyDescent="0.25">
      <c r="A4" s="3" t="s">
        <v>11</v>
      </c>
      <c r="B4" s="3" t="s">
        <v>21</v>
      </c>
      <c r="C4" s="3" t="s">
        <v>38</v>
      </c>
      <c r="D4" s="4">
        <v>45000</v>
      </c>
      <c r="E4" s="4">
        <f t="shared" ref="E4:E17" si="0">D4*40%</f>
        <v>18000</v>
      </c>
      <c r="F4" s="4">
        <f t="shared" ref="F4:F17" si="1">D4*5%</f>
        <v>2250</v>
      </c>
      <c r="G4" s="3">
        <v>3</v>
      </c>
      <c r="H4" s="4">
        <f t="shared" ref="H4:H17" si="2">G4*150</f>
        <v>450</v>
      </c>
      <c r="I4" s="4">
        <f t="shared" ref="I4:I17" si="3">SUM(D4,E4,F4,H4)</f>
        <v>65700</v>
      </c>
      <c r="J4" s="4">
        <f t="shared" ref="J4:J17" si="4">I4*12%</f>
        <v>7884</v>
      </c>
      <c r="K4" s="5">
        <f t="shared" ref="K4:K17" si="5">I4-J4</f>
        <v>57816</v>
      </c>
    </row>
    <row r="5" spans="1:11" x14ac:dyDescent="0.25">
      <c r="A5" s="3" t="s">
        <v>12</v>
      </c>
      <c r="B5" s="3" t="s">
        <v>22</v>
      </c>
      <c r="C5" s="3" t="s">
        <v>39</v>
      </c>
      <c r="D5" s="4">
        <v>25000</v>
      </c>
      <c r="E5" s="4">
        <f t="shared" si="0"/>
        <v>10000</v>
      </c>
      <c r="F5" s="4">
        <f t="shared" si="1"/>
        <v>1250</v>
      </c>
      <c r="G5" s="3">
        <v>6</v>
      </c>
      <c r="H5" s="4">
        <f t="shared" si="2"/>
        <v>900</v>
      </c>
      <c r="I5" s="4">
        <f t="shared" si="3"/>
        <v>37150</v>
      </c>
      <c r="J5" s="4">
        <f t="shared" si="4"/>
        <v>4458</v>
      </c>
      <c r="K5" s="5">
        <f t="shared" si="5"/>
        <v>32692</v>
      </c>
    </row>
    <row r="6" spans="1:11" x14ac:dyDescent="0.25">
      <c r="A6" s="3" t="s">
        <v>13</v>
      </c>
      <c r="B6" s="3" t="s">
        <v>23</v>
      </c>
      <c r="C6" s="3" t="s">
        <v>40</v>
      </c>
      <c r="D6" s="4">
        <v>45000</v>
      </c>
      <c r="E6" s="4">
        <f t="shared" si="0"/>
        <v>18000</v>
      </c>
      <c r="F6" s="4">
        <f t="shared" si="1"/>
        <v>2250</v>
      </c>
      <c r="G6" s="3">
        <v>4</v>
      </c>
      <c r="H6" s="4">
        <f t="shared" si="2"/>
        <v>600</v>
      </c>
      <c r="I6" s="4">
        <f t="shared" si="3"/>
        <v>65850</v>
      </c>
      <c r="J6" s="4">
        <f t="shared" si="4"/>
        <v>7902</v>
      </c>
      <c r="K6" s="5">
        <f t="shared" si="5"/>
        <v>57948</v>
      </c>
    </row>
    <row r="7" spans="1:11" x14ac:dyDescent="0.25">
      <c r="A7" s="3" t="s">
        <v>14</v>
      </c>
      <c r="B7" s="3" t="s">
        <v>24</v>
      </c>
      <c r="C7" s="3" t="s">
        <v>39</v>
      </c>
      <c r="D7" s="4">
        <v>30000</v>
      </c>
      <c r="E7" s="4">
        <f t="shared" si="0"/>
        <v>12000</v>
      </c>
      <c r="F7" s="4">
        <f t="shared" si="1"/>
        <v>1500</v>
      </c>
      <c r="G7" s="3">
        <v>8</v>
      </c>
      <c r="H7" s="4">
        <f t="shared" si="2"/>
        <v>1200</v>
      </c>
      <c r="I7" s="4">
        <f t="shared" si="3"/>
        <v>44700</v>
      </c>
      <c r="J7" s="4">
        <f t="shared" si="4"/>
        <v>5364</v>
      </c>
      <c r="K7" s="5">
        <f t="shared" si="5"/>
        <v>39336</v>
      </c>
    </row>
    <row r="8" spans="1:11" x14ac:dyDescent="0.25">
      <c r="A8" s="3" t="s">
        <v>15</v>
      </c>
      <c r="B8" s="3" t="s">
        <v>25</v>
      </c>
      <c r="C8" s="3" t="s">
        <v>40</v>
      </c>
      <c r="D8" s="4">
        <v>36000</v>
      </c>
      <c r="E8" s="4">
        <f t="shared" si="0"/>
        <v>14400</v>
      </c>
      <c r="F8" s="4">
        <f t="shared" si="1"/>
        <v>1800</v>
      </c>
      <c r="G8" s="3">
        <v>4</v>
      </c>
      <c r="H8" s="4">
        <f t="shared" si="2"/>
        <v>600</v>
      </c>
      <c r="I8" s="4">
        <f t="shared" si="3"/>
        <v>52800</v>
      </c>
      <c r="J8" s="4">
        <f t="shared" si="4"/>
        <v>6336</v>
      </c>
      <c r="K8" s="5">
        <f t="shared" si="5"/>
        <v>46464</v>
      </c>
    </row>
    <row r="9" spans="1:11" x14ac:dyDescent="0.25">
      <c r="A9" s="3" t="s">
        <v>16</v>
      </c>
      <c r="B9" s="3" t="s">
        <v>26</v>
      </c>
      <c r="C9" s="3" t="s">
        <v>36</v>
      </c>
      <c r="D9" s="4">
        <v>40000</v>
      </c>
      <c r="E9" s="4">
        <f t="shared" si="0"/>
        <v>16000</v>
      </c>
      <c r="F9" s="4">
        <f t="shared" si="1"/>
        <v>2000</v>
      </c>
      <c r="G9" s="3">
        <v>6</v>
      </c>
      <c r="H9" s="4">
        <f t="shared" si="2"/>
        <v>900</v>
      </c>
      <c r="I9" s="4">
        <f t="shared" si="3"/>
        <v>58900</v>
      </c>
      <c r="J9" s="4">
        <f t="shared" si="4"/>
        <v>7068</v>
      </c>
      <c r="K9" s="5">
        <f t="shared" si="5"/>
        <v>51832</v>
      </c>
    </row>
    <row r="10" spans="1:11" x14ac:dyDescent="0.25">
      <c r="A10" s="3" t="s">
        <v>17</v>
      </c>
      <c r="B10" s="3" t="s">
        <v>27</v>
      </c>
      <c r="C10" s="3" t="s">
        <v>41</v>
      </c>
      <c r="D10" s="4">
        <v>45000</v>
      </c>
      <c r="E10" s="4">
        <f t="shared" si="0"/>
        <v>18000</v>
      </c>
      <c r="F10" s="4">
        <f t="shared" si="1"/>
        <v>2250</v>
      </c>
      <c r="G10" s="3">
        <v>2</v>
      </c>
      <c r="H10" s="4">
        <f t="shared" si="2"/>
        <v>300</v>
      </c>
      <c r="I10" s="4">
        <f t="shared" si="3"/>
        <v>65550</v>
      </c>
      <c r="J10" s="4">
        <f t="shared" si="4"/>
        <v>7866</v>
      </c>
      <c r="K10" s="5">
        <f t="shared" si="5"/>
        <v>57684</v>
      </c>
    </row>
    <row r="11" spans="1:11" x14ac:dyDescent="0.25">
      <c r="A11" s="3" t="s">
        <v>18</v>
      </c>
      <c r="B11" s="3" t="s">
        <v>23</v>
      </c>
      <c r="C11" s="3" t="s">
        <v>36</v>
      </c>
      <c r="D11" s="4">
        <v>36000</v>
      </c>
      <c r="E11" s="4">
        <f t="shared" si="0"/>
        <v>14400</v>
      </c>
      <c r="F11" s="4">
        <f t="shared" si="1"/>
        <v>1800</v>
      </c>
      <c r="G11" s="3">
        <v>5</v>
      </c>
      <c r="H11" s="4">
        <f t="shared" si="2"/>
        <v>750</v>
      </c>
      <c r="I11" s="4">
        <f t="shared" si="3"/>
        <v>52950</v>
      </c>
      <c r="J11" s="4">
        <f t="shared" si="4"/>
        <v>6354</v>
      </c>
      <c r="K11" s="5">
        <f t="shared" si="5"/>
        <v>46596</v>
      </c>
    </row>
    <row r="12" spans="1:11" x14ac:dyDescent="0.25">
      <c r="A12" s="3" t="s">
        <v>19</v>
      </c>
      <c r="B12" s="3" t="s">
        <v>20</v>
      </c>
      <c r="C12" s="3" t="s">
        <v>42</v>
      </c>
      <c r="D12" s="4">
        <v>27000</v>
      </c>
      <c r="E12" s="4">
        <f t="shared" si="0"/>
        <v>10800</v>
      </c>
      <c r="F12" s="4">
        <f t="shared" si="1"/>
        <v>1350</v>
      </c>
      <c r="G12" s="3">
        <v>7</v>
      </c>
      <c r="H12" s="4">
        <f t="shared" si="2"/>
        <v>1050</v>
      </c>
      <c r="I12" s="4">
        <f t="shared" si="3"/>
        <v>40200</v>
      </c>
      <c r="J12" s="4">
        <f t="shared" si="4"/>
        <v>4824</v>
      </c>
      <c r="K12" s="5">
        <f t="shared" si="5"/>
        <v>35376</v>
      </c>
    </row>
    <row r="13" spans="1:11" x14ac:dyDescent="0.25">
      <c r="A13" s="3" t="s">
        <v>28</v>
      </c>
      <c r="B13" s="3" t="s">
        <v>33</v>
      </c>
      <c r="C13" s="3" t="s">
        <v>38</v>
      </c>
      <c r="D13" s="4">
        <v>75000</v>
      </c>
      <c r="E13" s="4">
        <f t="shared" si="0"/>
        <v>30000</v>
      </c>
      <c r="F13" s="4">
        <f t="shared" si="1"/>
        <v>3750</v>
      </c>
      <c r="G13" s="3">
        <v>4</v>
      </c>
      <c r="H13" s="4">
        <f t="shared" si="2"/>
        <v>600</v>
      </c>
      <c r="I13" s="4">
        <f t="shared" si="3"/>
        <v>109350</v>
      </c>
      <c r="J13" s="4">
        <f t="shared" si="4"/>
        <v>13122</v>
      </c>
      <c r="K13" s="5">
        <f t="shared" si="5"/>
        <v>96228</v>
      </c>
    </row>
    <row r="14" spans="1:11" x14ac:dyDescent="0.25">
      <c r="A14" s="3" t="s">
        <v>29</v>
      </c>
      <c r="B14" s="3" t="s">
        <v>24</v>
      </c>
      <c r="C14" s="3" t="s">
        <v>39</v>
      </c>
      <c r="D14" s="4">
        <v>21000</v>
      </c>
      <c r="E14" s="4">
        <f t="shared" si="0"/>
        <v>8400</v>
      </c>
      <c r="F14" s="4">
        <f t="shared" si="1"/>
        <v>1050</v>
      </c>
      <c r="G14" s="3">
        <v>3</v>
      </c>
      <c r="H14" s="4">
        <f t="shared" si="2"/>
        <v>450</v>
      </c>
      <c r="I14" s="4">
        <f t="shared" si="3"/>
        <v>30900</v>
      </c>
      <c r="J14" s="4">
        <f t="shared" si="4"/>
        <v>3708</v>
      </c>
      <c r="K14" s="5">
        <f t="shared" si="5"/>
        <v>27192</v>
      </c>
    </row>
    <row r="15" spans="1:11" x14ac:dyDescent="0.25">
      <c r="A15" s="3" t="s">
        <v>30</v>
      </c>
      <c r="B15" s="3" t="s">
        <v>34</v>
      </c>
      <c r="C15" s="3" t="s">
        <v>42</v>
      </c>
      <c r="D15" s="4">
        <v>42000</v>
      </c>
      <c r="E15" s="4">
        <f t="shared" si="0"/>
        <v>16800</v>
      </c>
      <c r="F15" s="4">
        <f t="shared" si="1"/>
        <v>2100</v>
      </c>
      <c r="G15" s="3">
        <v>2</v>
      </c>
      <c r="H15" s="4">
        <f t="shared" si="2"/>
        <v>300</v>
      </c>
      <c r="I15" s="4">
        <f t="shared" si="3"/>
        <v>61200</v>
      </c>
      <c r="J15" s="4">
        <f t="shared" si="4"/>
        <v>7344</v>
      </c>
      <c r="K15" s="5">
        <f t="shared" si="5"/>
        <v>53856</v>
      </c>
    </row>
    <row r="16" spans="1:11" x14ac:dyDescent="0.25">
      <c r="A16" s="3" t="s">
        <v>31</v>
      </c>
      <c r="B16" s="3" t="s">
        <v>27</v>
      </c>
      <c r="C16" s="3" t="s">
        <v>36</v>
      </c>
      <c r="D16" s="4">
        <v>66000</v>
      </c>
      <c r="E16" s="4">
        <f t="shared" si="0"/>
        <v>26400</v>
      </c>
      <c r="F16" s="4">
        <f t="shared" si="1"/>
        <v>3300</v>
      </c>
      <c r="G16" s="3">
        <v>1</v>
      </c>
      <c r="H16" s="4">
        <f t="shared" si="2"/>
        <v>150</v>
      </c>
      <c r="I16" s="4">
        <f t="shared" si="3"/>
        <v>95850</v>
      </c>
      <c r="J16" s="4">
        <f t="shared" si="4"/>
        <v>11502</v>
      </c>
      <c r="K16" s="5">
        <f t="shared" si="5"/>
        <v>84348</v>
      </c>
    </row>
    <row r="17" spans="1:11" x14ac:dyDescent="0.25">
      <c r="A17" s="3" t="s">
        <v>32</v>
      </c>
      <c r="B17" s="3" t="s">
        <v>35</v>
      </c>
      <c r="C17" s="3" t="s">
        <v>41</v>
      </c>
      <c r="D17" s="4">
        <v>54000</v>
      </c>
      <c r="E17" s="4">
        <f t="shared" si="0"/>
        <v>21600</v>
      </c>
      <c r="F17" s="4">
        <f t="shared" si="1"/>
        <v>2700</v>
      </c>
      <c r="G17" s="3">
        <v>7</v>
      </c>
      <c r="H17" s="4">
        <f t="shared" si="2"/>
        <v>1050</v>
      </c>
      <c r="I17" s="4">
        <f t="shared" si="3"/>
        <v>79350</v>
      </c>
      <c r="J17" s="4">
        <f t="shared" si="4"/>
        <v>9522</v>
      </c>
      <c r="K17" s="5">
        <f t="shared" si="5"/>
        <v>69828</v>
      </c>
    </row>
  </sheetData>
  <mergeCells count="1">
    <mergeCell ref="A1:K1"/>
  </mergeCells>
  <phoneticPr fontId="3" type="noConversion"/>
  <conditionalFormatting sqref="K3:K17">
    <cfRule type="cellIs" dxfId="1" priority="3" operator="lessThan">
      <formula>45000</formula>
    </cfRule>
    <cfRule type="cellIs" dxfId="0" priority="4" operator="greaterThan">
      <formula>65000</formula>
    </cfRule>
  </conditionalFormatting>
  <conditionalFormatting sqref="I3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{BD2C1618-4DDD-42AE-94BB-4B4D7734842D}</x14:id>
        </ext>
      </extLst>
    </cfRule>
  </conditionalFormatting>
  <conditionalFormatting sqref="D3:D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2C1618-4DDD-42AE-94BB-4B4D77348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Sheet5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2026-09-24T00:11:21Z</dcterms:created>
  <dcterms:modified xsi:type="dcterms:W3CDTF">2026-09-24T00:09:21Z</dcterms:modified>
</cp:coreProperties>
</file>