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0162DD00-1A40-40FB-B95A-5B76C0655C9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B17" i="2"/>
  <c r="C17" i="2" s="1"/>
  <c r="D17" i="2" s="1"/>
  <c r="E17" i="2" s="1"/>
  <c r="B18" i="2"/>
  <c r="C18" i="2" s="1"/>
  <c r="D18" i="2" s="1"/>
  <c r="E18" i="2" s="1"/>
  <c r="B16" i="2"/>
  <c r="C16" i="2" s="1"/>
  <c r="D16" i="2" s="1"/>
  <c r="E16" i="2" s="1"/>
  <c r="H18" i="2"/>
  <c r="I13" i="2"/>
  <c r="J13" i="2" s="1"/>
  <c r="K13" i="2" s="1"/>
  <c r="H13" i="2"/>
  <c r="H14" i="2"/>
  <c r="I14" i="2" s="1"/>
  <c r="J14" i="2" s="1"/>
  <c r="K14" i="2" s="1"/>
  <c r="H12" i="2"/>
  <c r="I12" i="2" s="1"/>
  <c r="J12" i="2" s="1"/>
  <c r="K12" i="2" s="1"/>
  <c r="H6" i="2"/>
  <c r="H3" i="2"/>
  <c r="H12" i="1"/>
  <c r="I12" i="1" s="1"/>
  <c r="J12" i="1" s="1"/>
  <c r="K12" i="1" s="1"/>
  <c r="H6" i="1"/>
</calcChain>
</file>

<file path=xl/sharedStrings.xml><?xml version="1.0" encoding="utf-8"?>
<sst xmlns="http://schemas.openxmlformats.org/spreadsheetml/2006/main" count="110" uniqueCount="41">
  <si>
    <t>HSN Code</t>
  </si>
  <si>
    <t>Seller Name</t>
  </si>
  <si>
    <t>Product Name</t>
  </si>
  <si>
    <t>Product ID</t>
  </si>
  <si>
    <t>Quntity   Sold</t>
  </si>
  <si>
    <t>Laptop</t>
  </si>
  <si>
    <t>LCD Tv</t>
  </si>
  <si>
    <t>Mobile</t>
  </si>
  <si>
    <t>Collur</t>
  </si>
  <si>
    <t>Printter</t>
  </si>
  <si>
    <t>Freez</t>
  </si>
  <si>
    <t>Scanner</t>
  </si>
  <si>
    <t>Keyboard</t>
  </si>
  <si>
    <t>Mouse</t>
  </si>
  <si>
    <t>Head phone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</si>
  <si>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</si>
  <si>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</si>
  <si>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</si>
  <si>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</si>
  <si>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</si>
  <si>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</si>
  <si>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</si>
  <si>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</si>
  <si>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</si>
  <si>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</si>
  <si>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DINESHAR</t>
  </si>
  <si>
    <t xml:space="preserve">RADH </t>
  </si>
  <si>
    <t>MNOJ</t>
  </si>
  <si>
    <t>BINOD</t>
  </si>
  <si>
    <t>SAMEE</t>
  </si>
  <si>
    <t>MOHAN</t>
  </si>
  <si>
    <t>KRISH</t>
  </si>
  <si>
    <t>PINKI</t>
  </si>
  <si>
    <t>MOHIT</t>
  </si>
  <si>
    <t>Quntity Sold</t>
  </si>
  <si>
    <t xml:space="preserve">VLOOKUP(vertical wise Search) </t>
  </si>
  <si>
    <t>Search Product Id</t>
  </si>
  <si>
    <t>Search Product  Name</t>
  </si>
  <si>
    <t>Search HSN Code</t>
  </si>
  <si>
    <t>laptop</t>
  </si>
  <si>
    <t>Search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</si>
</sst>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2" xfId="0" applyFont="1" applyFill="1" applyBorder="1"/>
    <xf numFmtId="0" fontId="0" fillId="0" borderId="3" xfId="0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2" fillId="0" borderId="3" xfId="0" applyFont="1" applyBorder="1"/>
    <xf numFmtId="0" fontId="0" fillId="0" borderId="3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2" fillId="2" borderId="1" xfId="0" applyFont="1" applyFill="1" applyBorder="1"/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/>
    <xf numFmtId="0" fontId="4" fillId="2" borderId="0" xfId="0" applyFont="1" applyFill="1"/>
    <xf numFmtId="0" fontId="0" fillId="5" borderId="1" xfId="0" applyFill="1" applyBorder="1"/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J5" sqref="J5"/>
    </sheetView>
  </sheetViews>
  <sheetFormatPr defaultRowHeight="15" x14ac:dyDescent="0.25"/>
  <cols>
    <col min="1" max="1" width="10" bestFit="1" customWidth="1"/>
    <col min="2" max="2" width="13.7109375" bestFit="1" customWidth="1"/>
    <col min="3" max="3" width="9.7109375" bestFit="1" customWidth="1"/>
    <col min="4" max="4" width="11.5703125" bestFit="1" customWidth="1"/>
    <col min="5" max="5" width="12.85546875" bestFit="1" customWidth="1"/>
    <col min="7" max="7" width="13.28515625" customWidth="1"/>
    <col min="8" max="8" width="15.5703125" customWidth="1"/>
    <col min="9" max="9" width="12" customWidth="1"/>
    <col min="10" max="10" width="15.28515625" customWidth="1"/>
    <col min="11" max="11" width="14.28515625" customWidth="1"/>
  </cols>
  <sheetData>
    <row r="1" spans="1:11" ht="21" x14ac:dyDescent="0.35">
      <c r="A1" s="23" t="s">
        <v>35</v>
      </c>
      <c r="B1" s="24"/>
      <c r="C1" s="24"/>
      <c r="D1" s="24"/>
      <c r="E1" s="24"/>
    </row>
    <row r="2" spans="1:11" ht="15.75" x14ac:dyDescent="0.25">
      <c r="A2" s="1" t="s">
        <v>3</v>
      </c>
      <c r="B2" s="1" t="s">
        <v>2</v>
      </c>
      <c r="C2" s="1" t="s">
        <v>0</v>
      </c>
      <c r="D2" s="1" t="s">
        <v>1</v>
      </c>
      <c r="E2" s="1" t="s">
        <v>4</v>
      </c>
      <c r="G2" s="4" t="s">
        <v>3</v>
      </c>
      <c r="H2" s="4" t="s">
        <v>34</v>
      </c>
    </row>
    <row r="3" spans="1:11" x14ac:dyDescent="0.25">
      <c r="A3" s="2">
        <v>101</v>
      </c>
      <c r="B3" s="3" t="s">
        <v>5</v>
      </c>
      <c r="C3" s="3" t="s">
        <v>15</v>
      </c>
      <c r="D3" s="3" t="s">
        <v>25</v>
      </c>
      <c r="E3" s="2">
        <v>23</v>
      </c>
      <c r="G3" s="9">
        <v>110</v>
      </c>
      <c r="H3" s="9">
        <f>VLOOKUP(G3,A3:E12,5,0)</f>
        <v>85</v>
      </c>
    </row>
    <row r="4" spans="1:11" x14ac:dyDescent="0.25">
      <c r="A4" s="2">
        <v>102</v>
      </c>
      <c r="B4" s="3" t="s">
        <v>6</v>
      </c>
      <c r="C4" s="3" t="s">
        <v>16</v>
      </c>
      <c r="D4" s="3" t="s">
        <v>26</v>
      </c>
      <c r="E4" s="2">
        <v>34</v>
      </c>
    </row>
    <row r="5" spans="1:11" x14ac:dyDescent="0.25">
      <c r="A5" s="2">
        <v>103</v>
      </c>
      <c r="B5" s="3" t="s">
        <v>7</v>
      </c>
      <c r="C5" s="3" t="s">
        <v>17</v>
      </c>
      <c r="D5" s="3" t="s">
        <v>27</v>
      </c>
      <c r="E5" s="2">
        <v>56</v>
      </c>
      <c r="G5" s="6" t="s">
        <v>0</v>
      </c>
      <c r="H5" s="6" t="s">
        <v>34</v>
      </c>
    </row>
    <row r="6" spans="1:11" x14ac:dyDescent="0.25">
      <c r="A6" s="2">
        <v>104</v>
      </c>
      <c r="B6" s="3" t="s">
        <v>8</v>
      </c>
      <c r="C6" s="3" t="s">
        <v>18</v>
      </c>
      <c r="D6" s="3" t="s">
        <v>28</v>
      </c>
      <c r="E6" s="2">
        <v>45</v>
      </c>
      <c r="G6" s="3" t="s">
        <v>23</v>
      </c>
      <c r="H6" s="5">
        <f>VLOOKUP(G6,C3:E12,3,0)</f>
        <v>68</v>
      </c>
    </row>
    <row r="7" spans="1:11" x14ac:dyDescent="0.25">
      <c r="A7" s="2">
        <v>105</v>
      </c>
      <c r="B7" s="3" t="s">
        <v>9</v>
      </c>
      <c r="C7" s="3" t="s">
        <v>19</v>
      </c>
      <c r="D7" s="3" t="s">
        <v>29</v>
      </c>
      <c r="E7" s="2">
        <v>59</v>
      </c>
    </row>
    <row r="8" spans="1:11" x14ac:dyDescent="0.25">
      <c r="A8" s="2">
        <v>106</v>
      </c>
      <c r="B8" s="3" t="s">
        <v>10</v>
      </c>
      <c r="C8" s="3" t="s">
        <v>20</v>
      </c>
      <c r="D8" s="3" t="s">
        <v>30</v>
      </c>
      <c r="E8" s="2">
        <v>40</v>
      </c>
    </row>
    <row r="9" spans="1:11" x14ac:dyDescent="0.25">
      <c r="A9" s="2">
        <v>107</v>
      </c>
      <c r="B9" s="3" t="s">
        <v>11</v>
      </c>
      <c r="C9" s="3" t="s">
        <v>21</v>
      </c>
      <c r="D9" s="3" t="s">
        <v>31</v>
      </c>
      <c r="E9" s="2">
        <v>12</v>
      </c>
    </row>
    <row r="10" spans="1:11" x14ac:dyDescent="0.25">
      <c r="A10" s="2">
        <v>108</v>
      </c>
      <c r="B10" s="3" t="s">
        <v>12</v>
      </c>
      <c r="C10" s="3" t="s">
        <v>22</v>
      </c>
      <c r="D10" s="3" t="s">
        <v>26</v>
      </c>
      <c r="E10" s="2">
        <v>27</v>
      </c>
      <c r="G10" s="8"/>
      <c r="H10" s="8"/>
    </row>
    <row r="11" spans="1:11" x14ac:dyDescent="0.25">
      <c r="A11" s="2">
        <v>109</v>
      </c>
      <c r="B11" s="3" t="s">
        <v>13</v>
      </c>
      <c r="C11" s="3" t="s">
        <v>23</v>
      </c>
      <c r="D11" s="3" t="s">
        <v>32</v>
      </c>
      <c r="E11" s="2">
        <v>68</v>
      </c>
      <c r="G11" s="7" t="s">
        <v>3</v>
      </c>
      <c r="H11" s="7" t="s">
        <v>2</v>
      </c>
      <c r="I11" s="7" t="s">
        <v>0</v>
      </c>
      <c r="J11" s="7" t="s">
        <v>1</v>
      </c>
      <c r="K11" s="7" t="s">
        <v>34</v>
      </c>
    </row>
    <row r="12" spans="1:11" x14ac:dyDescent="0.25">
      <c r="A12" s="2">
        <v>110</v>
      </c>
      <c r="B12" s="3" t="s">
        <v>14</v>
      </c>
      <c r="C12" s="3" t="s">
        <v>24</v>
      </c>
      <c r="D12" s="3" t="s">
        <v>33</v>
      </c>
      <c r="E12" s="2">
        <v>85</v>
      </c>
      <c r="G12" s="5">
        <v>104</v>
      </c>
      <c r="H12" s="5" t="str">
        <f>VLOOKUP(G12,A3:E12,2,0)</f>
        <v>Collur</v>
      </c>
      <c r="I12" s="5" t="str">
        <f t="shared" ref="I12" si="0">VLOOKUP(H12,B3:F12,2,0)</f>
        <v>AP0104</v>
      </c>
      <c r="J12" s="5" t="str">
        <f>VLOOKUP(I12,C3:G12,2,0)</f>
        <v>BINOD</v>
      </c>
      <c r="K12" s="5">
        <f>VLOOKUP(J12,D3:H12,2,0)</f>
        <v>45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abSelected="1" workbookViewId="0">
      <selection activeCell="F7" sqref="A1:K18"/>
    </sheetView>
  </sheetViews>
  <sheetFormatPr defaultRowHeight="15" x14ac:dyDescent="0.25"/>
  <cols>
    <col min="1" max="1" width="11.42578125" bestFit="1" customWidth="1"/>
    <col min="2" max="2" width="15.28515625" bestFit="1" customWidth="1"/>
    <col min="3" max="3" width="10.5703125" bestFit="1" customWidth="1"/>
    <col min="4" max="4" width="12.7109375" bestFit="1" customWidth="1"/>
    <col min="5" max="5" width="14.7109375" bestFit="1" customWidth="1"/>
    <col min="7" max="7" width="13.28515625" customWidth="1"/>
    <col min="8" max="8" width="15.5703125" customWidth="1"/>
    <col min="9" max="9" width="12" customWidth="1"/>
    <col min="10" max="10" width="15.28515625" customWidth="1"/>
    <col min="11" max="11" width="14.28515625" customWidth="1"/>
  </cols>
  <sheetData>
    <row r="1" spans="1:11" ht="21" x14ac:dyDescent="0.35">
      <c r="A1" s="23" t="s">
        <v>35</v>
      </c>
      <c r="B1" s="24"/>
      <c r="C1" s="24"/>
      <c r="D1" s="24"/>
      <c r="E1" s="24"/>
      <c r="G1" s="25" t="s">
        <v>36</v>
      </c>
      <c r="H1" s="25"/>
    </row>
    <row r="2" spans="1:11" ht="15.75" x14ac:dyDescent="0.25">
      <c r="A2" s="16" t="s">
        <v>3</v>
      </c>
      <c r="B2" s="16" t="s">
        <v>2</v>
      </c>
      <c r="C2" s="16" t="s">
        <v>0</v>
      </c>
      <c r="D2" s="16" t="s">
        <v>1</v>
      </c>
      <c r="E2" s="16" t="s">
        <v>4</v>
      </c>
      <c r="G2" s="4" t="s">
        <v>3</v>
      </c>
      <c r="H2" s="4" t="s">
        <v>34</v>
      </c>
    </row>
    <row r="3" spans="1:11" x14ac:dyDescent="0.25">
      <c r="A3" s="2">
        <v>101</v>
      </c>
      <c r="B3" s="3" t="s">
        <v>5</v>
      </c>
      <c r="C3" s="3" t="s">
        <v>15</v>
      </c>
      <c r="D3" s="3" t="s">
        <v>25</v>
      </c>
      <c r="E3" s="2">
        <v>23</v>
      </c>
      <c r="G3" s="9">
        <v>110</v>
      </c>
      <c r="H3" s="9">
        <f>VLOOKUP(G3,A3:E12,5,0)</f>
        <v>85</v>
      </c>
    </row>
    <row r="4" spans="1:11" x14ac:dyDescent="0.25">
      <c r="A4" s="2">
        <v>102</v>
      </c>
      <c r="B4" s="3" t="s">
        <v>6</v>
      </c>
      <c r="C4" s="3" t="s">
        <v>16</v>
      </c>
      <c r="D4" s="3" t="s">
        <v>26</v>
      </c>
      <c r="E4" s="2">
        <v>34</v>
      </c>
      <c r="G4" s="25" t="s">
        <v>38</v>
      </c>
      <c r="H4" s="25"/>
    </row>
    <row r="5" spans="1:11" x14ac:dyDescent="0.25">
      <c r="A5" s="2">
        <v>103</v>
      </c>
      <c r="B5" s="3" t="s">
        <v>7</v>
      </c>
      <c r="C5" s="3" t="s">
        <v>17</v>
      </c>
      <c r="D5" s="3" t="s">
        <v>27</v>
      </c>
      <c r="E5" s="2">
        <v>56</v>
      </c>
      <c r="G5" s="15" t="s">
        <v>0</v>
      </c>
      <c r="H5" s="15" t="s">
        <v>34</v>
      </c>
    </row>
    <row r="6" spans="1:11" x14ac:dyDescent="0.25">
      <c r="A6" s="2">
        <v>104</v>
      </c>
      <c r="B6" s="3" t="s">
        <v>8</v>
      </c>
      <c r="C6" s="3" t="s">
        <v>18</v>
      </c>
      <c r="D6" s="3" t="s">
        <v>28</v>
      </c>
      <c r="E6" s="2">
        <v>45</v>
      </c>
      <c r="G6" s="3" t="s">
        <v>23</v>
      </c>
      <c r="H6" s="5">
        <f>VLOOKUP(G6,C3:E12,3,0)</f>
        <v>68</v>
      </c>
    </row>
    <row r="7" spans="1:11" x14ac:dyDescent="0.25">
      <c r="A7" s="2">
        <v>105</v>
      </c>
      <c r="B7" s="3" t="s">
        <v>9</v>
      </c>
      <c r="C7" s="3" t="s">
        <v>19</v>
      </c>
      <c r="D7" s="3" t="s">
        <v>29</v>
      </c>
      <c r="E7" s="2">
        <v>59</v>
      </c>
    </row>
    <row r="8" spans="1:11" x14ac:dyDescent="0.25">
      <c r="A8" s="2">
        <v>106</v>
      </c>
      <c r="B8" s="3" t="s">
        <v>10</v>
      </c>
      <c r="C8" s="3" t="s">
        <v>20</v>
      </c>
      <c r="D8" s="3" t="s">
        <v>30</v>
      </c>
      <c r="E8" s="2">
        <v>40</v>
      </c>
    </row>
    <row r="9" spans="1:11" x14ac:dyDescent="0.25">
      <c r="A9" s="2">
        <v>107</v>
      </c>
      <c r="B9" s="3" t="s">
        <v>11</v>
      </c>
      <c r="C9" s="3" t="s">
        <v>21</v>
      </c>
      <c r="D9" s="3" t="s">
        <v>31</v>
      </c>
      <c r="E9" s="2">
        <v>12</v>
      </c>
    </row>
    <row r="10" spans="1:11" x14ac:dyDescent="0.25">
      <c r="A10" s="2">
        <v>108</v>
      </c>
      <c r="B10" s="3" t="s">
        <v>12</v>
      </c>
      <c r="C10" s="3" t="s">
        <v>22</v>
      </c>
      <c r="D10" s="3" t="s">
        <v>26</v>
      </c>
      <c r="E10" s="2">
        <v>27</v>
      </c>
      <c r="G10" s="26" t="s">
        <v>36</v>
      </c>
      <c r="H10" s="26"/>
      <c r="I10" s="26"/>
      <c r="J10" s="26"/>
      <c r="K10" s="26"/>
    </row>
    <row r="11" spans="1:11" x14ac:dyDescent="0.25">
      <c r="A11" s="2">
        <v>109</v>
      </c>
      <c r="B11" s="3" t="s">
        <v>13</v>
      </c>
      <c r="C11" s="3" t="s">
        <v>23</v>
      </c>
      <c r="D11" s="3" t="s">
        <v>32</v>
      </c>
      <c r="E11" s="2">
        <v>68</v>
      </c>
      <c r="G11" s="14" t="s">
        <v>3</v>
      </c>
      <c r="H11" s="14" t="s">
        <v>2</v>
      </c>
      <c r="I11" s="14" t="s">
        <v>0</v>
      </c>
      <c r="J11" s="14" t="s">
        <v>1</v>
      </c>
      <c r="K11" s="14" t="s">
        <v>34</v>
      </c>
    </row>
    <row r="12" spans="1:11" x14ac:dyDescent="0.25">
      <c r="A12" s="2">
        <v>110</v>
      </c>
      <c r="B12" s="3" t="s">
        <v>14</v>
      </c>
      <c r="C12" s="3" t="s">
        <v>24</v>
      </c>
      <c r="D12" s="3" t="s">
        <v>33</v>
      </c>
      <c r="E12" s="2">
        <v>85</v>
      </c>
      <c r="G12" s="11">
        <v>105</v>
      </c>
      <c r="H12" s="11" t="str">
        <f>VLOOKUP(G12,A3:E12,2,0)</f>
        <v>Printter</v>
      </c>
      <c r="I12" s="11" t="str">
        <f t="shared" ref="I12:K14" si="0">VLOOKUP(H12,B3:F12,2,0)</f>
        <v>AP0105</v>
      </c>
      <c r="J12" s="11" t="str">
        <f t="shared" si="0"/>
        <v>SAMEE</v>
      </c>
      <c r="K12" s="11">
        <f t="shared" si="0"/>
        <v>59</v>
      </c>
    </row>
    <row r="13" spans="1:11" x14ac:dyDescent="0.25">
      <c r="G13" s="11">
        <v>109</v>
      </c>
      <c r="H13" s="11" t="str">
        <f t="shared" ref="H13:H14" si="1">VLOOKUP(G13,A4:E13,2,0)</f>
        <v>Mouse</v>
      </c>
      <c r="I13" s="11" t="str">
        <f t="shared" si="0"/>
        <v>AP0109</v>
      </c>
      <c r="J13" s="11" t="str">
        <f t="shared" si="0"/>
        <v>PINKI</v>
      </c>
      <c r="K13" s="11">
        <f t="shared" si="0"/>
        <v>68</v>
      </c>
    </row>
    <row r="14" spans="1:11" ht="21" x14ac:dyDescent="0.35">
      <c r="A14" s="23" t="s">
        <v>40</v>
      </c>
      <c r="B14" s="24"/>
      <c r="C14" s="24"/>
      <c r="D14" s="24"/>
      <c r="E14" s="24"/>
      <c r="G14" s="11">
        <v>103</v>
      </c>
      <c r="H14" s="11" t="str">
        <f t="shared" si="1"/>
        <v>Mobile</v>
      </c>
      <c r="I14" s="11" t="str">
        <f t="shared" si="0"/>
        <v>AP0103</v>
      </c>
      <c r="J14" s="11" t="str">
        <f t="shared" si="0"/>
        <v>MNOJ</v>
      </c>
      <c r="K14" s="11">
        <f t="shared" si="0"/>
        <v>56</v>
      </c>
    </row>
    <row r="15" spans="1:11" ht="15.75" x14ac:dyDescent="0.25">
      <c r="A15" s="16" t="s">
        <v>3</v>
      </c>
      <c r="B15" s="16" t="s">
        <v>2</v>
      </c>
      <c r="C15" s="16" t="s">
        <v>0</v>
      </c>
      <c r="D15" s="16" t="s">
        <v>1</v>
      </c>
      <c r="E15" s="16" t="s">
        <v>4</v>
      </c>
      <c r="G15" s="12"/>
    </row>
    <row r="16" spans="1:11" x14ac:dyDescent="0.25">
      <c r="A16" s="10">
        <v>101</v>
      </c>
      <c r="B16" s="11" t="str">
        <f>VLOOKUP(A16,A3:E12,2,0)</f>
        <v>Laptop</v>
      </c>
      <c r="C16" s="11" t="str">
        <f t="shared" ref="C16:D16" si="2">VLOOKUP(B16,B3:F12,2,0)</f>
        <v>AP0101</v>
      </c>
      <c r="D16" s="11" t="str">
        <f t="shared" si="2"/>
        <v>DINESHAR</v>
      </c>
      <c r="E16" s="11">
        <f>VLOOKUP(D16,D3:H12,2,0)</f>
        <v>23</v>
      </c>
      <c r="G16" s="25" t="s">
        <v>37</v>
      </c>
      <c r="H16" s="25"/>
    </row>
    <row r="17" spans="1:8" x14ac:dyDescent="0.25">
      <c r="A17" s="10">
        <v>102</v>
      </c>
      <c r="B17" s="11" t="str">
        <f t="shared" ref="B17:B18" si="3">VLOOKUP(A17,A4:E13,2,0)</f>
        <v>LCD Tv</v>
      </c>
      <c r="C17" s="11" t="str">
        <f t="shared" ref="C17:C18" si="4">VLOOKUP(B17,B4:F13,2,0)</f>
        <v>AP0102</v>
      </c>
      <c r="D17" s="11" t="str">
        <f t="shared" ref="D17:D18" si="5">VLOOKUP(C17,C4:G13,2,0)</f>
        <v xml:space="preserve">RADH </v>
      </c>
      <c r="E17" s="11">
        <f t="shared" ref="E17:E18" si="6">VLOOKUP(D17,D4:H13,2,0)</f>
        <v>34</v>
      </c>
      <c r="G17" s="13" t="s">
        <v>2</v>
      </c>
      <c r="H17" s="13" t="s">
        <v>1</v>
      </c>
    </row>
    <row r="18" spans="1:8" x14ac:dyDescent="0.25">
      <c r="A18" s="10">
        <v>103</v>
      </c>
      <c r="B18" s="11" t="str">
        <f t="shared" si="3"/>
        <v>Mobile</v>
      </c>
      <c r="C18" s="11" t="str">
        <f t="shared" si="4"/>
        <v>AP0103</v>
      </c>
      <c r="D18" s="11" t="str">
        <f t="shared" si="5"/>
        <v>MNOJ</v>
      </c>
      <c r="E18" s="11">
        <f t="shared" si="6"/>
        <v>56</v>
      </c>
      <c r="G18" s="17" t="s">
        <v>39</v>
      </c>
      <c r="H18" s="17" t="str">
        <f>VLOOKUP(G18,B3:E12,3,FALSE)</f>
        <v>DINESHAR</v>
      </c>
    </row>
  </sheetData>
  <mergeCells count="6">
    <mergeCell ref="A1:E1"/>
    <mergeCell ref="G1:H1"/>
    <mergeCell ref="G10:K10"/>
    <mergeCell ref="G16:H16"/>
    <mergeCell ref="G4:H4"/>
    <mergeCell ref="A14:E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0"/>
  <sheetViews>
    <sheetView workbookViewId="0">
      <selection activeCell="C12" sqref="A1:XFD1048576"/>
    </sheetView>
  </sheetViews>
  <sheetFormatPr defaultRowHeight="15" x14ac:dyDescent="0.25"/>
  <cols>
    <col min="1" max="1" width="10.5703125" bestFit="1" customWidth="1"/>
    <col min="2" max="2" width="14.140625" bestFit="1" customWidth="1"/>
    <col min="4" max="4" width="12.140625" bestFit="1" customWidth="1"/>
    <col min="5" max="5" width="13.7109375" customWidth="1"/>
  </cols>
  <sheetData>
    <row r="2" spans="1:5" ht="15.75" x14ac:dyDescent="0.25">
      <c r="A2" s="21" t="s">
        <v>3</v>
      </c>
      <c r="B2" s="21" t="s">
        <v>2</v>
      </c>
      <c r="C2" s="21" t="s">
        <v>0</v>
      </c>
      <c r="D2" s="21" t="s">
        <v>1</v>
      </c>
      <c r="E2" s="21" t="s">
        <v>4</v>
      </c>
    </row>
    <row r="3" spans="1:5" x14ac:dyDescent="0.25">
      <c r="A3" s="18">
        <v>104</v>
      </c>
      <c r="B3" s="22"/>
      <c r="C3" s="19"/>
      <c r="D3" s="19"/>
      <c r="E3" s="19"/>
    </row>
    <row r="4" spans="1:5" x14ac:dyDescent="0.25">
      <c r="A4" s="18">
        <v>102</v>
      </c>
      <c r="B4" s="22"/>
      <c r="C4" s="19"/>
      <c r="D4" s="19"/>
      <c r="E4" s="19"/>
    </row>
    <row r="5" spans="1:5" x14ac:dyDescent="0.25">
      <c r="A5" s="18">
        <v>103</v>
      </c>
      <c r="B5" s="22"/>
      <c r="C5" s="19"/>
      <c r="D5" s="19"/>
      <c r="E5" s="19"/>
    </row>
    <row r="6" spans="1:5" x14ac:dyDescent="0.25">
      <c r="A6" s="20"/>
      <c r="B6" s="20"/>
      <c r="C6" s="20"/>
      <c r="D6" s="20"/>
      <c r="E6" s="20"/>
    </row>
    <row r="7" spans="1:5" x14ac:dyDescent="0.25">
      <c r="A7" s="20"/>
      <c r="B7" s="20"/>
      <c r="C7" s="20"/>
      <c r="D7" s="20"/>
      <c r="E7" s="20"/>
    </row>
    <row r="8" spans="1:5" x14ac:dyDescent="0.25">
      <c r="A8" s="20"/>
      <c r="B8" s="20"/>
      <c r="C8" s="20"/>
      <c r="D8" s="20"/>
      <c r="E8" s="20"/>
    </row>
    <row r="9" spans="1:5" x14ac:dyDescent="0.25">
      <c r="A9" s="20"/>
      <c r="B9" s="20"/>
      <c r="C9" s="20"/>
      <c r="D9" s="20"/>
      <c r="E9" s="20"/>
    </row>
    <row r="10" spans="1:5" x14ac:dyDescent="0.25">
      <c r="A10" s="20"/>
      <c r="B10" s="20"/>
      <c r="C10" s="20"/>
      <c r="D10" s="20"/>
      <c r="E10" s="20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DHAMAL OF TOTAL</cp:lastModifiedBy>
  <dcterms:created xsi:type="dcterms:W3CDTF">2026-08-24T04:39:57Z</dcterms:created>
  <dcterms:modified xsi:type="dcterms:W3CDTF">2026-10-03T10:32:45Z</dcterms:modified>
</cp:coreProperties>
</file>