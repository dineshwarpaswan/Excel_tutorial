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5DED7B30-DFB1-4C4E-84AB-7FDA2A9DE5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L2" i="1"/>
  <c r="H6" i="1"/>
  <c r="H3" i="1"/>
  <c r="H13" i="1"/>
  <c r="I13" i="1" s="1"/>
  <c r="J13" i="1" s="1"/>
  <c r="K13" i="1" s="1"/>
  <c r="H14" i="1"/>
  <c r="I14" i="1" s="1"/>
  <c r="J14" i="1" s="1"/>
  <c r="K14" i="1" s="1"/>
  <c r="H15" i="1"/>
  <c r="I15" i="1" s="1"/>
  <c r="J15" i="1" s="1"/>
  <c r="K15" i="1" s="1"/>
  <c r="H16" i="1"/>
  <c r="I16" i="1" s="1"/>
  <c r="J16" i="1" s="1"/>
  <c r="K16" i="1" s="1"/>
  <c r="H17" i="1"/>
  <c r="I17" i="1" s="1"/>
  <c r="J17" i="1" s="1"/>
  <c r="K17" i="1" s="1"/>
  <c r="H12" i="1"/>
  <c r="I12" i="1" s="1"/>
  <c r="J12" i="1" s="1"/>
  <c r="K12" i="1" s="1"/>
</calcChain>
</file>

<file path=xl/sharedStrings.xml><?xml version="1.0" encoding="utf-8"?>
<sst xmlns="http://schemas.openxmlformats.org/spreadsheetml/2006/main" count="47" uniqueCount="37">
  <si>
    <t>HSN Code</t>
  </si>
  <si>
    <t>Seller Name</t>
  </si>
  <si>
    <t>Product Name</t>
  </si>
  <si>
    <t>Product ID</t>
  </si>
  <si>
    <t>Quntity   Sold</t>
  </si>
  <si>
    <t>Laptop</t>
  </si>
  <si>
    <t>LCD Tv</t>
  </si>
  <si>
    <t>Mobile</t>
  </si>
  <si>
    <t>Collur</t>
  </si>
  <si>
    <t>Printter</t>
  </si>
  <si>
    <t>Freez</t>
  </si>
  <si>
    <t>Scanner</t>
  </si>
  <si>
    <t>Keyboard</t>
  </si>
  <si>
    <t>Mouse</t>
  </si>
  <si>
    <t>Head phone</t>
  </si>
  <si>
    <t>AP0101</t>
  </si>
  <si>
    <t>AP0102</t>
  </si>
  <si>
    <t>AP0103</t>
  </si>
  <si>
    <t>AP0104</t>
  </si>
  <si>
    <t>AP0105</t>
  </si>
  <si>
    <t>AP0106</t>
  </si>
  <si>
    <t>AP0107</t>
  </si>
  <si>
    <t>AP0108</t>
  </si>
  <si>
    <t>AP0109</t>
  </si>
  <si>
    <t>AP0110</t>
  </si>
  <si>
    <t>DINESHAR</t>
  </si>
  <si>
    <t xml:space="preserve">RADH </t>
  </si>
  <si>
    <t>MNOJ</t>
  </si>
  <si>
    <t>BINOD</t>
  </si>
  <si>
    <t>SAMEE</t>
  </si>
  <si>
    <t>MOHAN</t>
  </si>
  <si>
    <t>KRISH</t>
  </si>
  <si>
    <t>PINKI</t>
  </si>
  <si>
    <t>MOHIT</t>
  </si>
  <si>
    <t>Quntity Sold</t>
  </si>
  <si>
    <t xml:space="preserve">XLOOKUP(vertical and Hoizontal Search) </t>
  </si>
  <si>
    <t>LOOKUP USED FOR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</si>
</sst>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N6" sqref="N6"/>
    </sheetView>
  </sheetViews>
  <sheetFormatPr defaultRowHeight="15" x14ac:dyDescent="0.25"/>
  <cols>
    <col min="1" max="1" width="10" style="3" bestFit="1" customWidth="1"/>
    <col min="2" max="2" width="13.7109375" style="3" bestFit="1" customWidth="1"/>
    <col min="3" max="3" width="9.7109375" style="3" bestFit="1" customWidth="1"/>
    <col min="4" max="4" width="11.5703125" style="3" bestFit="1" customWidth="1"/>
    <col min="5" max="5" width="12.85546875" style="3" bestFit="1" customWidth="1"/>
    <col min="6" max="6" width="9.140625" style="3"/>
    <col min="7" max="7" width="13.28515625" style="3" customWidth="1"/>
    <col min="8" max="8" width="15.5703125" style="3" customWidth="1"/>
    <col min="9" max="9" width="12" style="3" customWidth="1"/>
    <col min="10" max="10" width="15.28515625" style="3" customWidth="1"/>
    <col min="11" max="11" width="14.28515625" style="3" customWidth="1"/>
    <col min="12" max="12" width="11.5703125" style="3" customWidth="1"/>
    <col min="13" max="16384" width="9.140625" style="3"/>
  </cols>
  <sheetData>
    <row r="1" spans="1:13" ht="21" x14ac:dyDescent="0.35">
      <c r="A1" s="8" t="s">
        <v>35</v>
      </c>
      <c r="B1" s="9"/>
      <c r="C1" s="9"/>
      <c r="D1" s="9"/>
      <c r="E1" s="9"/>
      <c r="K1" s="11" t="s">
        <v>36</v>
      </c>
      <c r="L1" s="11"/>
    </row>
    <row r="2" spans="1:13" ht="15.75" x14ac:dyDescent="0.25">
      <c r="A2" s="4" t="s">
        <v>3</v>
      </c>
      <c r="B2" s="4" t="s">
        <v>2</v>
      </c>
      <c r="C2" s="4" t="s">
        <v>0</v>
      </c>
      <c r="D2" s="4" t="s">
        <v>1</v>
      </c>
      <c r="E2" s="4" t="s">
        <v>4</v>
      </c>
      <c r="G2" s="5" t="s">
        <v>3</v>
      </c>
      <c r="H2" s="5" t="s">
        <v>1</v>
      </c>
      <c r="K2" s="12">
        <v>106</v>
      </c>
      <c r="L2" s="12" t="str">
        <f>LOOKUP(K2,A3:E12,B3:B12)</f>
        <v>Freez</v>
      </c>
    </row>
    <row r="3" spans="1:13" x14ac:dyDescent="0.25">
      <c r="A3" s="1">
        <v>101</v>
      </c>
      <c r="B3" s="1" t="s">
        <v>5</v>
      </c>
      <c r="C3" s="1" t="s">
        <v>15</v>
      </c>
      <c r="D3" s="1" t="s">
        <v>25</v>
      </c>
      <c r="E3" s="1">
        <v>23</v>
      </c>
      <c r="G3" s="6">
        <v>110</v>
      </c>
      <c r="H3" s="6" t="str">
        <f>_xlfn.XLOOKUP(G3,A3:A12,D3:D12,"no record")</f>
        <v>MOHIT</v>
      </c>
    </row>
    <row r="4" spans="1:13" x14ac:dyDescent="0.25">
      <c r="A4" s="1">
        <v>102</v>
      </c>
      <c r="B4" s="1" t="s">
        <v>6</v>
      </c>
      <c r="C4" s="1" t="s">
        <v>16</v>
      </c>
      <c r="D4" s="1" t="s">
        <v>26</v>
      </c>
      <c r="E4" s="1">
        <v>34</v>
      </c>
    </row>
    <row r="5" spans="1:13" x14ac:dyDescent="0.25">
      <c r="A5" s="1">
        <v>103</v>
      </c>
      <c r="B5" s="1" t="s">
        <v>7</v>
      </c>
      <c r="C5" s="1" t="s">
        <v>17</v>
      </c>
      <c r="D5" s="1" t="s">
        <v>27</v>
      </c>
      <c r="E5" s="1">
        <v>56</v>
      </c>
      <c r="G5" s="7" t="s">
        <v>0</v>
      </c>
      <c r="H5" s="7" t="s">
        <v>34</v>
      </c>
    </row>
    <row r="6" spans="1:13" x14ac:dyDescent="0.25">
      <c r="A6" s="1">
        <v>104</v>
      </c>
      <c r="B6" s="1" t="s">
        <v>8</v>
      </c>
      <c r="C6" s="1" t="s">
        <v>18</v>
      </c>
      <c r="D6" s="1" t="s">
        <v>28</v>
      </c>
      <c r="E6" s="1">
        <v>45</v>
      </c>
      <c r="G6" s="1" t="s">
        <v>20</v>
      </c>
      <c r="H6" s="2">
        <f>_xlfn.XLOOKUP(G6,C3:C12,E3:E12)</f>
        <v>40</v>
      </c>
      <c r="L6" s="10">
        <v>101</v>
      </c>
      <c r="M6" s="10" t="str">
        <f>INDEX(A3:E12,1,4)</f>
        <v>DINESHAR</v>
      </c>
    </row>
    <row r="7" spans="1:13" x14ac:dyDescent="0.25">
      <c r="A7" s="1">
        <v>105</v>
      </c>
      <c r="B7" s="1" t="s">
        <v>9</v>
      </c>
      <c r="C7" s="1" t="s">
        <v>19</v>
      </c>
      <c r="D7" s="1" t="s">
        <v>29</v>
      </c>
      <c r="E7" s="1">
        <v>59</v>
      </c>
    </row>
    <row r="8" spans="1:13" x14ac:dyDescent="0.25">
      <c r="A8" s="1">
        <v>106</v>
      </c>
      <c r="B8" s="1" t="s">
        <v>10</v>
      </c>
      <c r="C8" s="1" t="s">
        <v>20</v>
      </c>
      <c r="D8" s="1" t="s">
        <v>30</v>
      </c>
      <c r="E8" s="1">
        <v>40</v>
      </c>
    </row>
    <row r="9" spans="1:13" x14ac:dyDescent="0.25">
      <c r="A9" s="1">
        <v>107</v>
      </c>
      <c r="B9" s="1" t="s">
        <v>11</v>
      </c>
      <c r="C9" s="1" t="s">
        <v>21</v>
      </c>
      <c r="D9" s="1" t="s">
        <v>31</v>
      </c>
      <c r="E9" s="1">
        <v>12</v>
      </c>
    </row>
    <row r="10" spans="1:13" x14ac:dyDescent="0.25">
      <c r="A10" s="1">
        <v>108</v>
      </c>
      <c r="B10" s="1" t="s">
        <v>12</v>
      </c>
      <c r="C10" s="1" t="s">
        <v>22</v>
      </c>
      <c r="D10" s="1" t="s">
        <v>26</v>
      </c>
      <c r="E10" s="1">
        <v>27</v>
      </c>
      <c r="G10" s="6"/>
      <c r="H10" s="6"/>
    </row>
    <row r="11" spans="1:13" x14ac:dyDescent="0.25">
      <c r="A11" s="1">
        <v>109</v>
      </c>
      <c r="B11" s="1" t="s">
        <v>13</v>
      </c>
      <c r="C11" s="1" t="s">
        <v>23</v>
      </c>
      <c r="D11" s="1" t="s">
        <v>32</v>
      </c>
      <c r="E11" s="1">
        <v>68</v>
      </c>
      <c r="G11" s="7" t="s">
        <v>3</v>
      </c>
      <c r="H11" s="7" t="s">
        <v>2</v>
      </c>
      <c r="I11" s="7" t="s">
        <v>0</v>
      </c>
      <c r="J11" s="7" t="s">
        <v>1</v>
      </c>
      <c r="K11" s="7" t="s">
        <v>34</v>
      </c>
    </row>
    <row r="12" spans="1:13" x14ac:dyDescent="0.25">
      <c r="A12" s="1">
        <v>110</v>
      </c>
      <c r="B12" s="1" t="s">
        <v>14</v>
      </c>
      <c r="C12" s="1" t="s">
        <v>24</v>
      </c>
      <c r="D12" s="1" t="s">
        <v>33</v>
      </c>
      <c r="E12" s="1">
        <v>85</v>
      </c>
      <c r="G12" s="2">
        <v>110</v>
      </c>
      <c r="H12" s="2" t="str">
        <f>_xlfn.XLOOKUP(G12,A3:A12,B3:B12,"not match")</f>
        <v>Head phone</v>
      </c>
      <c r="I12" s="2" t="str">
        <f t="shared" ref="I12:J12" si="0">_xlfn.XLOOKUP(H12,B3:B12,C3:C12,"not match")</f>
        <v>AP0110</v>
      </c>
      <c r="J12" s="2" t="str">
        <f t="shared" si="0"/>
        <v>MOHIT</v>
      </c>
      <c r="K12" s="2">
        <f>_xlfn.XLOOKUP(J12,D3:D12,E3:E12,"not match")</f>
        <v>85</v>
      </c>
    </row>
    <row r="13" spans="1:13" x14ac:dyDescent="0.25">
      <c r="G13" s="3">
        <v>109</v>
      </c>
      <c r="H13" s="2" t="str">
        <f t="shared" ref="H13:H17" si="1">_xlfn.XLOOKUP(G13,A4:A13,B4:B13,"not match")</f>
        <v>Mouse</v>
      </c>
      <c r="I13" s="2" t="str">
        <f t="shared" ref="I13:I17" si="2">_xlfn.XLOOKUP(H13,B4:B13,C4:C13,"not match")</f>
        <v>AP0109</v>
      </c>
      <c r="J13" s="2" t="str">
        <f t="shared" ref="J13:K17" si="3">_xlfn.XLOOKUP(I13,C4:C13,D4:D13,"not match")</f>
        <v>PINKI</v>
      </c>
      <c r="K13" s="2">
        <f t="shared" si="3"/>
        <v>68</v>
      </c>
    </row>
    <row r="14" spans="1:13" x14ac:dyDescent="0.25">
      <c r="G14" s="3">
        <v>108</v>
      </c>
      <c r="H14" s="2" t="str">
        <f t="shared" si="1"/>
        <v>Keyboard</v>
      </c>
      <c r="I14" s="2" t="str">
        <f t="shared" si="2"/>
        <v>AP0108</v>
      </c>
      <c r="J14" s="2" t="str">
        <f t="shared" si="3"/>
        <v xml:space="preserve">RADH </v>
      </c>
      <c r="K14" s="2">
        <f t="shared" ref="K14:K17" si="4">_xlfn.XLOOKUP(J14,D5:D14,E5:E14,"not match")</f>
        <v>27</v>
      </c>
    </row>
    <row r="15" spans="1:13" x14ac:dyDescent="0.25">
      <c r="G15" s="3">
        <v>107</v>
      </c>
      <c r="H15" s="2" t="str">
        <f t="shared" si="1"/>
        <v>Scanner</v>
      </c>
      <c r="I15" s="2" t="str">
        <f t="shared" si="2"/>
        <v>AP0107</v>
      </c>
      <c r="J15" s="2" t="str">
        <f t="shared" si="3"/>
        <v>KRISH</v>
      </c>
      <c r="K15" s="2">
        <f t="shared" si="4"/>
        <v>12</v>
      </c>
    </row>
    <row r="16" spans="1:13" x14ac:dyDescent="0.25">
      <c r="G16" s="3">
        <v>108</v>
      </c>
      <c r="H16" s="2" t="str">
        <f t="shared" si="1"/>
        <v>Keyboard</v>
      </c>
      <c r="I16" s="2" t="str">
        <f t="shared" si="2"/>
        <v>AP0108</v>
      </c>
      <c r="J16" s="2" t="str">
        <f t="shared" si="3"/>
        <v xml:space="preserve">RADH </v>
      </c>
      <c r="K16" s="2">
        <f t="shared" si="4"/>
        <v>27</v>
      </c>
    </row>
    <row r="17" spans="7:11" x14ac:dyDescent="0.25">
      <c r="G17" s="3">
        <v>109</v>
      </c>
      <c r="H17" s="2" t="str">
        <f t="shared" si="1"/>
        <v>Mouse</v>
      </c>
      <c r="I17" s="2" t="str">
        <f t="shared" si="2"/>
        <v>AP0109</v>
      </c>
      <c r="J17" s="2" t="str">
        <f t="shared" si="3"/>
        <v>PINKI</v>
      </c>
      <c r="K17" s="2">
        <f t="shared" si="4"/>
        <v>68</v>
      </c>
    </row>
  </sheetData>
  <mergeCells count="2">
    <mergeCell ref="A1:E1"/>
    <mergeCell ref="K1:L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DHAMAL OF TOTAL</cp:lastModifiedBy>
  <dcterms:created xsi:type="dcterms:W3CDTF">2026-08-24T04:39:57Z</dcterms:created>
  <dcterms:modified xsi:type="dcterms:W3CDTF">2026-10-03T10:44:26Z</dcterms:modified>
</cp:coreProperties>
</file>